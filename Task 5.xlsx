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Myntra-Project_ files\"/>
    </mc:Choice>
  </mc:AlternateContent>
  <xr:revisionPtr revIDLastSave="0" documentId="13_ncr:1_{D6DF1656-C268-4CC5-8A22-F368EA515F83}" xr6:coauthVersionLast="47" xr6:coauthVersionMax="47" xr10:uidLastSave="{00000000-0000-0000-0000-000000000000}"/>
  <bookViews>
    <workbookView xWindow="-108" yWindow="-108" windowWidth="23256" windowHeight="12456" xr2:uid="{2EAA940E-90FB-492D-8CFF-E007A6B220A4}"/>
  </bookViews>
  <sheets>
    <sheet name="Task5- Campaign Effectiveness" sheetId="1" r:id="rId1"/>
    <sheet name="Campaign Performance Summary" sheetId="2" r:id="rId2"/>
    <sheet name="Total Volume impact" sheetId="6" r:id="rId3"/>
    <sheet name="Average Volume impact" sheetId="5" r:id="rId4"/>
    <sheet name="Highest ROI." sheetId="9" r:id="rId5"/>
    <sheet name="strongest follower growth" sheetId="13" r:id="rId6"/>
  </sheets>
  <definedNames>
    <definedName name="_xlcn.WorksheetConnection_Book5Table31" hidden="1">Table3[]</definedName>
    <definedName name="_xlcn.WorksheetConnection_Book5Table41" hidden="1">Table4[]</definedName>
    <definedName name="_xlcn.WorksheetConnection_Task5.xlsxTable431" hidden="1">Table43[]</definedName>
    <definedName name="ExternalData_3" localSheetId="0" hidden="1">'Task5- Campaign Effectiveness'!$A$1:$F$5</definedName>
  </definedNames>
  <calcPr calcId="191029"/>
  <pivotCaches>
    <pivotCache cacheId="8" r:id="rId7"/>
    <pivotCache cacheId="20" r:id="rId8"/>
    <pivotCache cacheId="21" r:id="rId9"/>
    <pivotCache cacheId="4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3" name="Table43" connection="WorksheetConnection_Task 5.xlsx!Table43"/>
          <x15:modelTable id="Table4" name="Table4" connection="WorksheetConnection_Book5!Table4"/>
          <x15:modelTable id="Table3" name="Table3" connection="WorksheetConnection_Book5!Table3"/>
        </x15:modelTables>
      </x15:dataModel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7FCD31-327B-4BA8-8C36-9C6557A4A0CA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  <connection id="2" xr16:uid="{46F678BB-DAB2-4C77-9387-4A31CA63E84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D93B05C-CA3B-4008-AAAE-72022F22CB31}" name="WorksheetConnection_Book5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Book5Table31"/>
        </x15:connection>
      </ext>
    </extLst>
  </connection>
  <connection id="4" xr16:uid="{05EBFF56-CCA0-483A-A777-C54A72818659}" name="WorksheetConnection_Book5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5Table41"/>
        </x15:connection>
      </ext>
    </extLst>
  </connection>
  <connection id="5" xr16:uid="{2EED5083-CB69-47DE-923B-5BE4FCA26867}" name="WorksheetConnection_Task 5.xlsx!Table43" type="102" refreshedVersion="8" minRefreshableVersion="5">
    <extLst>
      <ext xmlns:x15="http://schemas.microsoft.com/office/spreadsheetml/2010/11/main" uri="{DE250136-89BD-433C-8126-D09CA5730AF9}">
        <x15:connection id="Table43">
          <x15:rangePr sourceName="_xlcn.WorksheetConnection_Task5.xlsxTable431"/>
        </x15:connection>
      </ext>
    </extLst>
  </connection>
</connections>
</file>

<file path=xl/sharedStrings.xml><?xml version="1.0" encoding="utf-8"?>
<sst xmlns="http://schemas.openxmlformats.org/spreadsheetml/2006/main" count="582" uniqueCount="75">
  <si>
    <t>EndOfSeasonSale</t>
  </si>
  <si>
    <t>Seasonal Clearance Promotion</t>
  </si>
  <si>
    <t>Instagram,Facebook</t>
  </si>
  <si>
    <t>FashionUpgrade</t>
  </si>
  <si>
    <t>Customer Engagement</t>
  </si>
  <si>
    <t>Instagram,YouTube</t>
  </si>
  <si>
    <t>MyntraFestiveEdit</t>
  </si>
  <si>
    <t>Festive Collection Launch</t>
  </si>
  <si>
    <t>Facebook,Instagram</t>
  </si>
  <si>
    <t>StyleRevolution</t>
  </si>
  <si>
    <t>Brand Awareness &amp; Growth</t>
  </si>
  <si>
    <t>Instagram,Twitter</t>
  </si>
  <si>
    <t>Campaign_Name</t>
  </si>
  <si>
    <t>Start_Date</t>
  </si>
  <si>
    <t>End_Date</t>
  </si>
  <si>
    <t>Objective</t>
  </si>
  <si>
    <t>Total_Budget</t>
  </si>
  <si>
    <t>Target_Platforms</t>
  </si>
  <si>
    <t>Impressions</t>
  </si>
  <si>
    <t>Clicks</t>
  </si>
  <si>
    <t>Engagement Rate</t>
  </si>
  <si>
    <t>Row Labels</t>
  </si>
  <si>
    <t>Grand Total</t>
  </si>
  <si>
    <t>Likes</t>
  </si>
  <si>
    <t>Average of Impressions</t>
  </si>
  <si>
    <t>Average of Clicks</t>
  </si>
  <si>
    <t>Average of Likes</t>
  </si>
  <si>
    <t>Sum of Average of Impressions</t>
  </si>
  <si>
    <t>Sum of Average of Clicks</t>
  </si>
  <si>
    <t>Sum of Average of Likes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</si>
  <si>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</si>
  <si>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</si>
  <si>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</si>
  <si>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</si>
  <si>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</si>
  <si>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</si>
  <si>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</si>
  <si>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</si>
  <si>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</si>
  <si>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</si>
  <si>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</si>
  <si>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6/17/2024</t>
  </si>
  <si>
    <t>6/24/2024</t>
  </si>
  <si>
    <t>7/15/2024</t>
  </si>
  <si>
    <t>7/22/2024</t>
  </si>
  <si>
    <t>7/29/2024</t>
  </si>
  <si>
    <t>8/19/2024</t>
  </si>
  <si>
    <t>8/26/2024</t>
  </si>
  <si>
    <t>9/16/2024</t>
  </si>
  <si>
    <t>9/23/2024</t>
  </si>
  <si>
    <t>9/30/2024</t>
  </si>
  <si>
    <t>10/14/2024</t>
  </si>
  <si>
    <t>10/21/2024</t>
  </si>
  <si>
    <t>10/28/2024</t>
  </si>
  <si>
    <t>11/18/2024</t>
  </si>
  <si>
    <t>11/25/2024</t>
  </si>
  <si>
    <t>12/16/2024</t>
  </si>
  <si>
    <t>12/23/2024</t>
  </si>
  <si>
    <t>12/30/2024</t>
  </si>
  <si>
    <t>1/13/2025</t>
  </si>
  <si>
    <t>1/20/2025</t>
  </si>
  <si>
    <t>1/27/2025</t>
  </si>
  <si>
    <t>2/17/2025</t>
  </si>
  <si>
    <t>2/24/2025</t>
  </si>
  <si>
    <t>3/17/2025</t>
  </si>
  <si>
    <t>3/24/2025</t>
  </si>
  <si>
    <t>3/31/2025</t>
  </si>
  <si>
    <t>4/14/2025</t>
  </si>
  <si>
    <t>4/21/2025</t>
  </si>
  <si>
    <t>4/28/2025</t>
  </si>
  <si>
    <t>Sum of Ad_Spend</t>
  </si>
  <si>
    <t>Average of Engagement_Rate</t>
  </si>
  <si>
    <t>Engagement vs. Ad Spend per platform</t>
  </si>
  <si>
    <t>Net_follower_</t>
  </si>
  <si>
    <t>Sum of Net_follower_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</si>
</sst>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4" fontId="1" fillId="0" borderId="4" xfId="0" applyNumberFormat="1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14" fontId="1" fillId="0" borderId="7" xfId="0" applyNumberFormat="1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2" borderId="0" xfId="0" applyFont="1" applyFill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NumberFormat="1" applyFont="1"/>
    <xf numFmtId="0" fontId="4" fillId="3" borderId="0" xfId="0" applyFont="1" applyFill="1" applyAlignment="1">
      <alignment horizontal="left"/>
    </xf>
    <xf numFmtId="0" fontId="4" fillId="3" borderId="0" xfId="0" applyNumberFormat="1" applyFont="1" applyFill="1"/>
  </cellXfs>
  <cellStyles count="1">
    <cellStyle name="Normal" xfId="0" builtinId="0"/>
  </cellStyles>
  <dxfs count="2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5.xlsx]Total Volume impact!PivotTable32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Volume impact'!$B$1</c:f>
              <c:strCache>
                <c:ptCount val="1"/>
                <c:pt idx="0">
                  <c:v>Sum of Average of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Volume impact'!$A$2:$A$7</c:f>
              <c:strCache>
                <c:ptCount val="5"/>
                <c:pt idx="0">
                  <c:v>EndOfSeasonSale</c:v>
                </c:pt>
                <c:pt idx="1">
                  <c:v>FashionUpgrade</c:v>
                </c:pt>
                <c:pt idx="2">
                  <c:v>Grand Total</c:v>
                </c:pt>
                <c:pt idx="3">
                  <c:v>MyntraFestiveEdit</c:v>
                </c:pt>
                <c:pt idx="4">
                  <c:v>StyleRevolution</c:v>
                </c:pt>
              </c:strCache>
            </c:strRef>
          </c:cat>
          <c:val>
            <c:numRef>
              <c:f>'Total Volume impact'!$B$2:$B$7</c:f>
              <c:numCache>
                <c:formatCode>0</c:formatCode>
                <c:ptCount val="5"/>
                <c:pt idx="0">
                  <c:v>34774.602409638552</c:v>
                </c:pt>
                <c:pt idx="1">
                  <c:v>38727.319444444445</c:v>
                </c:pt>
                <c:pt idx="2">
                  <c:v>34647.176666666666</c:v>
                </c:pt>
                <c:pt idx="3">
                  <c:v>33482.717948717946</c:v>
                </c:pt>
                <c:pt idx="4">
                  <c:v>31460.328358208953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F-4965-8594-C45F3E235CF9}"/>
            </c:ext>
          </c:extLst>
        </c:ser>
        <c:ser>
          <c:idx val="1"/>
          <c:order val="1"/>
          <c:tx>
            <c:strRef>
              <c:f>'Total Volume impact'!$C$1</c:f>
              <c:strCache>
                <c:ptCount val="1"/>
                <c:pt idx="0">
                  <c:v>Sum of Average of 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Volume impact'!$A$2:$A$7</c:f>
              <c:strCache>
                <c:ptCount val="5"/>
                <c:pt idx="0">
                  <c:v>EndOfSeasonSale</c:v>
                </c:pt>
                <c:pt idx="1">
                  <c:v>FashionUpgrade</c:v>
                </c:pt>
                <c:pt idx="2">
                  <c:v>Grand Total</c:v>
                </c:pt>
                <c:pt idx="3">
                  <c:v>MyntraFestiveEdit</c:v>
                </c:pt>
                <c:pt idx="4">
                  <c:v>StyleRevolution</c:v>
                </c:pt>
              </c:strCache>
            </c:strRef>
          </c:cat>
          <c:val>
            <c:numRef>
              <c:f>'Total Volume impact'!$C$2:$C$7</c:f>
              <c:numCache>
                <c:formatCode>0</c:formatCode>
                <c:ptCount val="5"/>
                <c:pt idx="0">
                  <c:v>149.10843373493975</c:v>
                </c:pt>
                <c:pt idx="1">
                  <c:v>155.43055555555554</c:v>
                </c:pt>
                <c:pt idx="2">
                  <c:v>151.22</c:v>
                </c:pt>
                <c:pt idx="3">
                  <c:v>159.7948717948718</c:v>
                </c:pt>
                <c:pt idx="4">
                  <c:v>139.32835820895522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F-4965-8594-C45F3E235CF9}"/>
            </c:ext>
          </c:extLst>
        </c:ser>
        <c:ser>
          <c:idx val="2"/>
          <c:order val="2"/>
          <c:tx>
            <c:strRef>
              <c:f>'Total Volume impact'!$D$1</c:f>
              <c:strCache>
                <c:ptCount val="1"/>
                <c:pt idx="0">
                  <c:v>Sum of Average of Likes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Volume impact'!$A$2:$A$7</c:f>
              <c:strCache>
                <c:ptCount val="5"/>
                <c:pt idx="0">
                  <c:v>EndOfSeasonSale</c:v>
                </c:pt>
                <c:pt idx="1">
                  <c:v>FashionUpgrade</c:v>
                </c:pt>
                <c:pt idx="2">
                  <c:v>Grand Total</c:v>
                </c:pt>
                <c:pt idx="3">
                  <c:v>MyntraFestiveEdit</c:v>
                </c:pt>
                <c:pt idx="4">
                  <c:v>StyleRevolution</c:v>
                </c:pt>
              </c:strCache>
            </c:strRef>
          </c:cat>
          <c:val>
            <c:numRef>
              <c:f>'Total Volume impact'!$D$2:$D$7</c:f>
              <c:numCache>
                <c:formatCode>0</c:formatCode>
                <c:ptCount val="5"/>
                <c:pt idx="0">
                  <c:v>2733.3033333333333</c:v>
                </c:pt>
                <c:pt idx="1">
                  <c:v>2733.3033333333333</c:v>
                </c:pt>
                <c:pt idx="2">
                  <c:v>2733.3033333333333</c:v>
                </c:pt>
                <c:pt idx="3">
                  <c:v>2733.3033333333333</c:v>
                </c:pt>
                <c:pt idx="4">
                  <c:v>2733.3033333333333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0F-4965-8594-C45F3E23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821903"/>
        <c:axId val="1030823343"/>
      </c:lineChart>
      <c:catAx>
        <c:axId val="103082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23343"/>
        <c:crosses val="autoZero"/>
        <c:auto val="1"/>
        <c:lblAlgn val="ctr"/>
        <c:lblOffset val="100"/>
        <c:noMultiLvlLbl val="0"/>
      </c:catAx>
      <c:valAx>
        <c:axId val="103082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2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5.xlsx]Average Volume impact!PivotTable31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Volume impact'!$B$3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Volume impact'!$A$4:$A$8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'Average Volume impact'!$B$4:$B$8</c:f>
              <c:numCache>
                <c:formatCode>0</c:formatCode>
                <c:ptCount val="4"/>
                <c:pt idx="0">
                  <c:v>34774.602409638552</c:v>
                </c:pt>
                <c:pt idx="1">
                  <c:v>38727.319444444445</c:v>
                </c:pt>
                <c:pt idx="2">
                  <c:v>33482.717948717946</c:v>
                </c:pt>
                <c:pt idx="3">
                  <c:v>31460.328358208953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3-4775-B32C-4C108BF51B67}"/>
            </c:ext>
          </c:extLst>
        </c:ser>
        <c:ser>
          <c:idx val="1"/>
          <c:order val="1"/>
          <c:tx>
            <c:strRef>
              <c:f>'Average Volume impact'!$C$3</c:f>
              <c:strCache>
                <c:ptCount val="1"/>
                <c:pt idx="0">
                  <c:v>Average of 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'Average Volume impact'!$A$4:$A$8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'Average Volume impact'!$C$4:$C$8</c:f>
              <c:numCache>
                <c:formatCode>0</c:formatCode>
                <c:ptCount val="4"/>
                <c:pt idx="0">
                  <c:v>149.10843373493975</c:v>
                </c:pt>
                <c:pt idx="1">
                  <c:v>155.43055555555554</c:v>
                </c:pt>
                <c:pt idx="2">
                  <c:v>159.7948717948718</c:v>
                </c:pt>
                <c:pt idx="3">
                  <c:v>139.32835820895522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3-4775-B32C-4C108BF51B67}"/>
            </c:ext>
          </c:extLst>
        </c:ser>
        <c:ser>
          <c:idx val="2"/>
          <c:order val="2"/>
          <c:tx>
            <c:strRef>
              <c:f>'Average Volume impact'!$D$3</c:f>
              <c:strCache>
                <c:ptCount val="1"/>
                <c:pt idx="0">
                  <c:v>Average of Likes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'Average Volume impact'!$A$4:$A$8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'Average Volume impact'!$D$4:$D$8</c:f>
              <c:numCache>
                <c:formatCode>0</c:formatCode>
                <c:ptCount val="4"/>
                <c:pt idx="0">
                  <c:v>2733.3033333333333</c:v>
                </c:pt>
                <c:pt idx="1">
                  <c:v>2733.3033333333333</c:v>
                </c:pt>
                <c:pt idx="2">
                  <c:v>2733.3033333333333</c:v>
                </c:pt>
                <c:pt idx="3">
                  <c:v>2733.3033333333333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3-4775-B32C-4C108BF5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243279"/>
        <c:axId val="2081245199"/>
      </c:lineChart>
      <c:catAx>
        <c:axId val="208124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45199"/>
        <c:crosses val="autoZero"/>
        <c:auto val="1"/>
        <c:lblAlgn val="ctr"/>
        <c:lblOffset val="100"/>
        <c:noMultiLvlLbl val="0"/>
      </c:catAx>
      <c:valAx>
        <c:axId val="20812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4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5.xlsx]Highest ROI.!PivotTable2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'Highest ROI.'!$B$3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'Highest ROI.'!$A$4:$A$8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'Highest ROI.'!$B$4:$B$8</c:f>
              <c:numCache>
                <c:formatCode>General</c:formatCode>
                <c:ptCount val="4"/>
                <c:pt idx="0">
                  <c:v>5.6486000000000001</c:v>
                </c:pt>
                <c:pt idx="1">
                  <c:v>5.7155999999999993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6-4042-993A-F56430FAE24B}"/>
            </c:ext>
          </c:extLst>
        </c:ser>
        <c:ser>
          <c:idx val="1"/>
          <c:order val="1"/>
          <c:tx>
            <c:strRef>
              <c:f>'Highest ROI.'!$C$3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'Highest ROI.'!$A$4:$A$8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'Highest ROI.'!$C$4:$C$8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6-4042-993A-F56430FAE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873632"/>
        <c:axId val="855872672"/>
      </c:barChart>
      <c:catAx>
        <c:axId val="8558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72672"/>
        <c:crosses val="autoZero"/>
        <c:auto val="1"/>
        <c:lblAlgn val="ctr"/>
        <c:lblOffset val="100"/>
        <c:noMultiLvlLbl val="0"/>
      </c:catAx>
      <c:valAx>
        <c:axId val="8558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5.xlsx]strongest follower growth!PivotTable5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'strongest follower growth'!$B$3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'strongest follower growth'!$A$4:$A$8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'strongest follower growth'!$B$4:$B$8</c:f>
              <c:numCache>
                <c:formatCode>General</c:formatCode>
                <c:ptCount val="4"/>
                <c:pt idx="0">
                  <c:v>41475</c:v>
                </c:pt>
                <c:pt idx="1">
                  <c:v>39746</c:v>
                </c:pt>
                <c:pt idx="2">
                  <c:v>42662</c:v>
                </c:pt>
                <c:pt idx="3">
                  <c:v>36222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22A-B2CC-68747A2A1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8000431"/>
        <c:axId val="1027992271"/>
      </c:barChart>
      <c:catAx>
        <c:axId val="102800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92271"/>
        <c:auto val="1"/>
        <c:lblAlgn val="ctr"/>
        <c:lblOffset val="100"/>
        <c:noMultiLvlLbl val="0"/>
      </c:catAx>
      <c:valAx>
        <c:axId val="102799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00043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7</xdr:row>
      <xdr:rowOff>76200</xdr:rowOff>
    </xdr:from>
    <xdr:to>
      <xdr:col>10</xdr:col>
      <xdr:colOff>15240</xdr:colOff>
      <xdr:row>28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E3DCF-D613-069B-1B93-7CC442049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175260</xdr:rowOff>
    </xdr:from>
    <xdr:to>
      <xdr:col>11</xdr:col>
      <xdr:colOff>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D6AC5-B9E6-D018-E12D-8E37F074E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4</xdr:row>
      <xdr:rowOff>175260</xdr:rowOff>
    </xdr:from>
    <xdr:to>
      <xdr:col>12</xdr:col>
      <xdr:colOff>388620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47D01-DDE8-083A-BF67-705CEB3D3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1455420</xdr:colOff>
      <xdr:row>8</xdr:row>
      <xdr:rowOff>0</xdr:rowOff>
    </xdr:from>
    <xdr:to>
      <xdr:col>7</xdr:col>
      <xdr:colOff>525780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EE085-B4F7-F655-6467-3F74BD379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10.876202314816" createdVersion="8" refreshedVersion="8" minRefreshableVersion="3" recordCount="5" xr:uid="{F06D4894-870F-498E-9F8D-8DAA8791F8E6}">
  <cacheSource type="worksheet">
    <worksheetSource ref="A3:D8" sheet="Average Volume impact"/>
  </cacheSource>
  <cacheFields count="4">
    <cacheField name="Row Labels" numFmtId="0">
      <sharedItems count="5">
        <s v="EndOfSeasonSale"/>
        <s v="FashionUpgrade"/>
        <s v="MyntraFestiveEdit"/>
        <s v="StyleRevolution"/>
        <s v="Grand Total"/>
      </sharedItems>
    </cacheField>
    <cacheField name="Average of Impressions" numFmtId="1">
      <sharedItems containsSemiMixedTypes="0" containsString="0" containsNumber="1" minValue="31460.328358208953" maxValue="38727.319444444445"/>
    </cacheField>
    <cacheField name="Average of Clicks" numFmtId="1">
      <sharedItems containsSemiMixedTypes="0" containsString="0" containsNumber="1" minValue="139.32835820895522" maxValue="159.7948717948718"/>
    </cacheField>
    <cacheField name="Average of Likes" numFmtId="1">
      <sharedItems containsSemiMixedTypes="0" containsString="0" containsNumber="1" minValue="2733.3033333333333" maxValue="2733.303333333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10.865293055555" backgroundQuery="1" createdVersion="8" refreshedVersion="8" minRefreshableVersion="3" recordCount="0" supportSubquery="1" supportAdvancedDrill="1" xr:uid="{0A36396F-C9BC-4CCA-8586-CA261A6961E0}">
  <cacheSource type="external" connectionId="2"/>
  <cacheFields count="4">
    <cacheField name="[Table3].[Campaign_Name].[Campaign_Name]" caption="Campaign_Name" numFmtId="0" hierarchy="2" level="1">
      <sharedItems count="4">
        <s v="EndOfSeasonSale"/>
        <s v="FashionUpgrade"/>
        <s v="MyntraFestiveEdit"/>
        <s v="StyleRevolution"/>
      </sharedItems>
    </cacheField>
    <cacheField name="[Measures].[Average of Impressions]" caption="Average of Impressions" numFmtId="0" hierarchy="21" level="32767"/>
    <cacheField name="[Measures].[Average of Clicks]" caption="Average of Clicks" numFmtId="0" hierarchy="22" level="32767"/>
    <cacheField name="[Measures].[Average of Likes]" caption="Average of Likes" numFmtId="0" hierarchy="23" level="32767"/>
  </cacheFields>
  <cacheHierarchies count="30">
    <cacheHierarchy uniqueName="[Table3].[Impressions]" caption="Impressions" attribute="1" defaultMemberUniqueName="[Table3].[Impressions].[All]" allUniqueName="[Table3].[Impressions].[All]" dimensionUniqueName="[Table3]" displayFolder="" count="0" memberValueDatatype="20" unbalanced="0"/>
    <cacheHierarchy uniqueName="[Table3].[Clicks]" caption="Clicks" attribute="1" defaultMemberUniqueName="[Table3].[Clicks].[All]" allUniqueName="[Table3].[Clicks].[All]" dimensionUniqueName="[Table3]" displayFolder="" count="0" memberValueDatatype="20" unbalanced="0"/>
    <cacheHierarchy uniqueName="[Table3].[Campaign_Name]" caption="Campaign_Name" attribute="1" defaultMemberUniqueName="[Table3].[Campaign_Name].[All]" allUniqueName="[Table3].[Campaign_Name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Engagement Rate]" caption="Engagement Rate" attribute="1" defaultMemberUniqueName="[Table3].[Engagement Rate].[All]" allUniqueName="[Table3].[Engagement Rate].[All]" dimensionUniqueName="[Table3]" displayFolder="" count="0" memberValueDatatype="5" unbalanced="0"/>
    <cacheHierarchy uniqueName="[Table4].[Likes]" caption="Likes" attribute="1" defaultMemberUniqueName="[Table4].[Likes].[All]" allUniqueName="[Table4].[Likes].[All]" dimensionUniqueName="[Table4]" displayFolder="" count="0" memberValueDatatype="20" unbalanced="0"/>
    <cacheHierarchy uniqueName="[Table43].[Week_Start_Date]" caption="Week_Start_Date" attribute="1" defaultMemberUniqueName="[Table43].[Week_Start_Date].[All]" allUniqueName="[Table43].[Week_Start_Date].[All]" dimensionUniqueName="[Table43]" displayFolder="" count="0" memberValueDatatype="130" unbalanced="0"/>
    <cacheHierarchy uniqueName="[Table43].[Platform]" caption="Platform" attribute="1" defaultMemberUniqueName="[Table43].[Platform].[All]" allUniqueName="[Table43].[Platform].[All]" dimensionUniqueName="[Table43]" displayFolder="" count="0" memberValueDatatype="130" unbalanced="0"/>
    <cacheHierarchy uniqueName="[Table43].[New_Followers]" caption="New_Followers" attribute="1" defaultMemberUniqueName="[Table43].[New_Followers].[All]" allUniqueName="[Table43].[New_Followers].[All]" dimensionUniqueName="[Table43]" displayFolder="" count="0" memberValueDatatype="20" unbalanced="0"/>
    <cacheHierarchy uniqueName="[Table43].[Unfollows]" caption="Unfollows" attribute="1" defaultMemberUniqueName="[Table43].[Unfollows].[All]" allUniqueName="[Table43].[Unfollows].[All]" dimensionUniqueName="[Table43]" displayFolder="" count="0" memberValueDatatype="20" unbalanced="0"/>
    <cacheHierarchy uniqueName="[Table43].[Total_Followers]" caption="Total_Followers" attribute="1" defaultMemberUniqueName="[Table43].[Total_Followers].[All]" allUniqueName="[Table43].[Total_Followers].[All]" dimensionUniqueName="[Table43]" displayFolder="" count="0" memberValueDatatype="20" unbalanced="0"/>
    <cacheHierarchy uniqueName="[Table43].[Engagement_Rate]" caption="Engagement_Rate" attribute="1" defaultMemberUniqueName="[Table43].[Engagement_Rate].[All]" allUniqueName="[Table43].[Engagement_Rate].[All]" dimensionUniqueName="[Table43]" displayFolder="" count="0" memberValueDatatype="5" unbalanced="0"/>
    <cacheHierarchy uniqueName="[Table43].[Ad_Spend]" caption="Ad_Spend" attribute="1" defaultMemberUniqueName="[Table43].[Ad_Spend].[All]" allUniqueName="[Table43].[Ad_Spend].[All]" dimensionUniqueName="[Table43]" displayFolder="" count="0" memberValueDatatype="20" unbalanced="0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43]" caption="__XL_Count Table43" measure="1" displayFolder="" measureGroup="Table43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licks]" caption="Sum of Clicks" measure="1" displayFolder="" measureGroup="Tabl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Engagement Rate]" caption="Average of Engagement Rat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Likes]" caption="Sum of Likes" measure="1" displayFolder="" measureGroup="Table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ngagement Rate]" caption="Sum of Engagement Rat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Impressions]" caption="Average of Impression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Clicks]" caption="Average of Clicks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Likes]" caption="Average of Likes" measure="1" displayFolder="" measureGroup="Table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ngagement_Rate]" caption="Sum of Engagement_Rate" measure="1" displayFolder="" measureGroup="Table4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d_Spend]" caption="Sum of Ad_Spend" measure="1" displayFolder="" measureGroup="Table4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Engagement_Rate]" caption="Average of Engagement_Rate" measure="1" displayFolder="" measureGroup="Table4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d_Spend]" caption="Average of Ad_Spend" measure="1" displayFolder="" measureGroup="Table4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Followers]" caption="Sum of Total_Followers" measure="1" displayFolder="" measureGroup="Table4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w_Followers]" caption="Sum of New_Followers" measure="1" displayFolder="" measureGroup="Table4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measure="1" name="Measures" uniqueName="[Measures]" caption="Measures"/>
    <dimension name="Table3" uniqueName="[Table3]" caption="Table3"/>
    <dimension name="Table4" uniqueName="[Table4]" caption="Table4"/>
    <dimension name="Table43" uniqueName="[Table43]" caption="Table43"/>
  </dimensions>
  <measureGroups count="3">
    <measureGroup name="Table3" caption="Table3"/>
    <measureGroup name="Table4" caption="Table4"/>
    <measureGroup name="Table43" caption="Table4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11.838109259261" backgroundQuery="1" createdVersion="8" refreshedVersion="8" minRefreshableVersion="3" recordCount="0" supportSubquery="1" supportAdvancedDrill="1" xr:uid="{C43D3D92-2BA0-4619-822D-FD9253F70F92}">
  <cacheSource type="external" connectionId="2"/>
  <cacheFields count="3">
    <cacheField name="[Table43].[Platform].[Platform]" caption="Platform" numFmtId="0" hierarchy="6" level="1">
      <sharedItems count="4">
        <s v="Facebook"/>
        <s v="Instagram"/>
        <s v="Twitter"/>
        <s v="YouTube"/>
      </sharedItems>
    </cacheField>
    <cacheField name="[Measures].[Sum of Ad_Spend]" caption="Sum of Ad_Spend" numFmtId="0" hierarchy="25" level="32767"/>
    <cacheField name="[Measures].[Average of Engagement_Rate]" caption="Average of Engagement_Rate" numFmtId="0" hierarchy="26" level="32767"/>
  </cacheFields>
  <cacheHierarchies count="30">
    <cacheHierarchy uniqueName="[Table3].[Impressions]" caption="Impressions" attribute="1" defaultMemberUniqueName="[Table3].[Impressions].[All]" allUniqueName="[Table3].[Impressions].[All]" dimensionUniqueName="[Table3]" displayFolder="" count="0" memberValueDatatype="20" unbalanced="0"/>
    <cacheHierarchy uniqueName="[Table3].[Clicks]" caption="Clicks" attribute="1" defaultMemberUniqueName="[Table3].[Clicks].[All]" allUniqueName="[Table3].[Clicks].[All]" dimensionUniqueName="[Table3]" displayFolder="" count="0" memberValueDatatype="20" unbalanced="0"/>
    <cacheHierarchy uniqueName="[Table3].[Campaign_Name]" caption="Campaign_Name" attribute="1" defaultMemberUniqueName="[Table3].[Campaign_Name].[All]" allUniqueName="[Table3].[Campaign_Name].[All]" dimensionUniqueName="[Table3]" displayFolder="" count="0" memberValueDatatype="130" unbalanced="0"/>
    <cacheHierarchy uniqueName="[Table3].[Engagement Rate]" caption="Engagement Rate" attribute="1" defaultMemberUniqueName="[Table3].[Engagement Rate].[All]" allUniqueName="[Table3].[Engagement Rate].[All]" dimensionUniqueName="[Table3]" displayFolder="" count="0" memberValueDatatype="5" unbalanced="0"/>
    <cacheHierarchy uniqueName="[Table4].[Likes]" caption="Likes" attribute="1" defaultMemberUniqueName="[Table4].[Likes].[All]" allUniqueName="[Table4].[Likes].[All]" dimensionUniqueName="[Table4]" displayFolder="" count="0" memberValueDatatype="20" unbalanced="0"/>
    <cacheHierarchy uniqueName="[Table43].[Week_Start_Date]" caption="Week_Start_Date" attribute="1" defaultMemberUniqueName="[Table43].[Week_Start_Date].[All]" allUniqueName="[Table43].[Week_Start_Date].[All]" dimensionUniqueName="[Table43]" displayFolder="" count="0" memberValueDatatype="130" unbalanced="0"/>
    <cacheHierarchy uniqueName="[Table43].[Platform]" caption="Platform" attribute="1" defaultMemberUniqueName="[Table43].[Platform].[All]" allUniqueName="[Table43].[Platform].[All]" dimensionUniqueName="[Table43]" displayFolder="" count="2" memberValueDatatype="130" unbalanced="0">
      <fieldsUsage count="2">
        <fieldUsage x="-1"/>
        <fieldUsage x="0"/>
      </fieldsUsage>
    </cacheHierarchy>
    <cacheHierarchy uniqueName="[Table43].[New_Followers]" caption="New_Followers" attribute="1" defaultMemberUniqueName="[Table43].[New_Followers].[All]" allUniqueName="[Table43].[New_Followers].[All]" dimensionUniqueName="[Table43]" displayFolder="" count="0" memberValueDatatype="20" unbalanced="0"/>
    <cacheHierarchy uniqueName="[Table43].[Unfollows]" caption="Unfollows" attribute="1" defaultMemberUniqueName="[Table43].[Unfollows].[All]" allUniqueName="[Table43].[Unfollows].[All]" dimensionUniqueName="[Table43]" displayFolder="" count="0" memberValueDatatype="20" unbalanced="0"/>
    <cacheHierarchy uniqueName="[Table43].[Total_Followers]" caption="Total_Followers" attribute="1" defaultMemberUniqueName="[Table43].[Total_Followers].[All]" allUniqueName="[Table43].[Total_Followers].[All]" dimensionUniqueName="[Table43]" displayFolder="" count="0" memberValueDatatype="20" unbalanced="0"/>
    <cacheHierarchy uniqueName="[Table43].[Engagement_Rate]" caption="Engagement_Rate" attribute="1" defaultMemberUniqueName="[Table43].[Engagement_Rate].[All]" allUniqueName="[Table43].[Engagement_Rate].[All]" dimensionUniqueName="[Table43]" displayFolder="" count="0" memberValueDatatype="5" unbalanced="0"/>
    <cacheHierarchy uniqueName="[Table43].[Ad_Spend]" caption="Ad_Spend" attribute="1" defaultMemberUniqueName="[Table43].[Ad_Spend].[All]" allUniqueName="[Table43].[Ad_Spend].[All]" dimensionUniqueName="[Table43]" displayFolder="" count="0" memberValueDatatype="20" unbalanced="0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XL_Count Table43]" caption="__XL_Count Table43" measure="1" displayFolder="" measureGroup="Table43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licks]" caption="Sum of Clicks" measure="1" displayFolder="" measureGroup="Tabl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Engagement Rate]" caption="Average of Engagement Rat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Likes]" caption="Sum of Likes" measure="1" displayFolder="" measureGroup="Table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ngagement Rate]" caption="Sum of Engagement Rat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Impressions]" caption="Average of Impressions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Clicks]" caption="Average of Clicks" measure="1" displayFolder="" measureGroup="Tabl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Likes]" caption="Average of Likes" measure="1" displayFolder="" measureGroup="Table4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ngagement_Rate]" caption="Sum of Engagement_Rate" measure="1" displayFolder="" measureGroup="Table4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d_Spend]" caption="Sum of Ad_Spend" measure="1" displayFolder="" measureGroup="Table4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Engagement_Rate]" caption="Average of Engagement_Rate" measure="1" displayFolder="" measureGroup="Table4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d_Spend]" caption="Average of Ad_Spend" measure="1" displayFolder="" measureGroup="Table43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Followers]" caption="Sum of Total_Followers" measure="1" displayFolder="" measureGroup="Table4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w_Followers]" caption="Sum of New_Followers" measure="1" displayFolder="" measureGroup="Table4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measure="1" name="Measures" uniqueName="[Measures]" caption="Measures"/>
    <dimension name="Table3" uniqueName="[Table3]" caption="Table3"/>
    <dimension name="Table4" uniqueName="[Table4]" caption="Table4"/>
    <dimension name="Table43" uniqueName="[Table43]" caption="Table43"/>
  </dimensions>
  <measureGroups count="3">
    <measureGroup name="Table3" caption="Table3"/>
    <measureGroup name="Table4" caption="Table4"/>
    <measureGroup name="Table43" caption="Table4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13.677216087963" createdVersion="8" refreshedVersion="8" minRefreshableVersion="3" recordCount="200" xr:uid="{C2E62630-FD69-42A2-B613-C14C880AAED3}">
  <cacheSource type="worksheet">
    <worksheetSource ref="A1:M201" sheet="Campaign Performance Summary"/>
  </cacheSource>
  <cacheFields count="13">
    <cacheField name="Likes" numFmtId="0">
      <sharedItems containsSemiMixedTypes="0" containsString="0" containsNumber="1" containsInteger="1" minValue="53" maxValue="4934"/>
    </cacheField>
    <cacheField name="Impressions" numFmtId="0">
      <sharedItems containsSemiMixedTypes="0" containsString="0" containsNumber="1" containsInteger="1" minValue="954" maxValue="93651"/>
    </cacheField>
    <cacheField name="Clicks" numFmtId="0">
      <sharedItems containsSemiMixedTypes="0" containsString="0" containsNumber="1" containsInteger="1" minValue="10" maxValue="300"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Engagement Rate" numFmtId="10">
      <sharedItems containsSemiMixedTypes="0" containsString="0" containsNumber="1" minValue="5.2551586421122697E-2" maxValue="0.86601941747572819"/>
    </cacheField>
    <cacheField name="Week_Start_Date" numFmtId="0">
      <sharedItems containsDate="1" containsMixedTypes="1" minDate="2024-01-07T00:00:00" maxDate="2025-12-06T00:00:00"/>
    </cacheField>
    <cacheField name="Platform" numFmtId="0">
      <sharedItems/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Net_follower_" numFmtId="0">
      <sharedItems containsSemiMixedTypes="0" containsString="0" containsNumber="1" containsInteger="1" minValue="-337" maxValue="1881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4774.602409638552"/>
    <n v="149.10843373493975"/>
    <n v="2733.3033333333333"/>
  </r>
  <r>
    <x v="1"/>
    <n v="38727.319444444445"/>
    <n v="155.43055555555554"/>
    <n v="2733.3033333333333"/>
  </r>
  <r>
    <x v="2"/>
    <n v="33482.717948717946"/>
    <n v="159.7948717948718"/>
    <n v="2733.3033333333333"/>
  </r>
  <r>
    <x v="3"/>
    <n v="31460.328358208953"/>
    <n v="139.32835820895522"/>
    <n v="2733.3033333333333"/>
  </r>
  <r>
    <x v="4"/>
    <n v="34647.176666666666"/>
    <n v="151.22"/>
    <n v="2733.30333333333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461"/>
    <n v="21915"/>
    <n v="15"/>
    <x v="0"/>
    <n v="9.0759753593429152E-2"/>
    <d v="2024-03-06T00:00:00"/>
    <s v="Instagram"/>
    <n v="1135"/>
    <n v="88"/>
    <n v="1047"/>
    <n v="344084"/>
    <n v="8.06"/>
    <n v="5904"/>
  </r>
  <r>
    <n v="4054"/>
    <n v="64864"/>
    <n v="117"/>
    <x v="1"/>
    <n v="7.6097681302417369E-2"/>
    <d v="2024-03-06T00:00:00"/>
    <s v="Facebook"/>
    <n v="1312"/>
    <n v="310"/>
    <n v="1002"/>
    <n v="42654"/>
    <n v="4.9800000000000004"/>
    <n v="9566"/>
  </r>
  <r>
    <n v="2795"/>
    <n v="53105"/>
    <n v="204"/>
    <x v="0"/>
    <n v="5.5531494209584788E-2"/>
    <d v="2024-03-06T00:00:00"/>
    <s v="Twitter"/>
    <n v="584"/>
    <n v="169"/>
    <n v="415"/>
    <n v="146834"/>
    <n v="8.31"/>
    <n v="26752"/>
  </r>
  <r>
    <n v="2404"/>
    <n v="19232"/>
    <n v="128"/>
    <x v="0"/>
    <n v="0.15105033277870217"/>
    <d v="2024-03-06T00:00:00"/>
    <s v="YouTube"/>
    <n v="1535"/>
    <n v="445"/>
    <n v="1090"/>
    <n v="395536"/>
    <n v="4.1100000000000003"/>
    <n v="30671"/>
  </r>
  <r>
    <n v="3557"/>
    <n v="71140"/>
    <n v="224"/>
    <x v="2"/>
    <n v="6.5617093055946027E-2"/>
    <d v="2024-10-06T00:00:00"/>
    <s v="Instagram"/>
    <n v="656"/>
    <n v="139"/>
    <n v="517"/>
    <n v="49157"/>
    <n v="9.0500000000000007"/>
    <n v="9920"/>
  </r>
  <r>
    <n v="2945"/>
    <n v="23560"/>
    <n v="256"/>
    <x v="1"/>
    <n v="0.17954159592529711"/>
    <d v="2024-10-06T00:00:00"/>
    <s v="Facebook"/>
    <n v="1697"/>
    <n v="414"/>
    <n v="1283"/>
    <n v="316555"/>
    <n v="2.37"/>
    <n v="7924"/>
  </r>
  <r>
    <n v="3860"/>
    <n v="61760"/>
    <n v="235"/>
    <x v="2"/>
    <n v="7.0272020725388601E-2"/>
    <d v="2024-10-06T00:00:00"/>
    <s v="Twitter"/>
    <n v="436"/>
    <n v="250"/>
    <n v="186"/>
    <n v="254347"/>
    <n v="4.01"/>
    <n v="8912"/>
  </r>
  <r>
    <n v="3929"/>
    <n v="43219"/>
    <n v="39"/>
    <x v="2"/>
    <n v="0.10340359564080613"/>
    <d v="2024-10-06T00:00:00"/>
    <s v="YouTube"/>
    <n v="1197"/>
    <n v="203"/>
    <n v="994"/>
    <n v="413878"/>
    <n v="3.16"/>
    <n v="21205"/>
  </r>
  <r>
    <n v="3784"/>
    <n v="56760"/>
    <n v="131"/>
    <x v="2"/>
    <n v="8.8019732205778717E-2"/>
    <s v="6/17/2024"/>
    <s v="Instagram"/>
    <n v="1048"/>
    <n v="155"/>
    <n v="893"/>
    <n v="456946"/>
    <n v="2.46"/>
    <n v="11329"/>
  </r>
  <r>
    <n v="4241"/>
    <n v="72097"/>
    <n v="167"/>
    <x v="3"/>
    <n v="7.198635172059864E-2"/>
    <s v="6/17/2024"/>
    <s v="Facebook"/>
    <n v="1753"/>
    <n v="371"/>
    <n v="1382"/>
    <n v="169496"/>
    <n v="8.11"/>
    <n v="46670"/>
  </r>
  <r>
    <n v="1792"/>
    <n v="25088"/>
    <n v="65"/>
    <x v="0"/>
    <n v="0.11571269132653061"/>
    <s v="6/17/2024"/>
    <s v="Twitter"/>
    <n v="1335"/>
    <n v="40"/>
    <n v="1295"/>
    <n v="122732"/>
    <n v="8.19"/>
    <n v="22482"/>
  </r>
  <r>
    <n v="1946"/>
    <n v="23352"/>
    <n v="213"/>
    <x v="2"/>
    <n v="0.12885405960945528"/>
    <s v="6/17/2024"/>
    <s v="YouTube"/>
    <n v="403"/>
    <n v="66"/>
    <n v="337"/>
    <n v="382851"/>
    <n v="3.49"/>
    <n v="24313"/>
  </r>
  <r>
    <n v="1171"/>
    <n v="22249"/>
    <n v="114"/>
    <x v="3"/>
    <n v="7.5868578363072495E-2"/>
    <s v="6/24/2024"/>
    <s v="Instagram"/>
    <n v="911"/>
    <n v="282"/>
    <n v="629"/>
    <n v="35664"/>
    <n v="6.92"/>
    <n v="18050"/>
  </r>
  <r>
    <n v="4242"/>
    <n v="33936"/>
    <n v="265"/>
    <x v="2"/>
    <n v="0.14521452145214522"/>
    <s v="6/24/2024"/>
    <s v="Facebook"/>
    <n v="1779"/>
    <n v="109"/>
    <n v="1670"/>
    <n v="26295"/>
    <n v="9.1199999999999992"/>
    <n v="30635"/>
  </r>
  <r>
    <n v="3888"/>
    <n v="77760"/>
    <n v="20"/>
    <x v="0"/>
    <n v="5.941358024691358E-2"/>
    <s v="6/24/2024"/>
    <s v="Twitter"/>
    <n v="1238"/>
    <n v="403"/>
    <n v="835"/>
    <n v="298421"/>
    <n v="3.5"/>
    <n v="31280"/>
  </r>
  <r>
    <n v="3452"/>
    <n v="55232"/>
    <n v="87"/>
    <x v="2"/>
    <n v="7.5843713789107758E-2"/>
    <s v="6/24/2024"/>
    <s v="YouTube"/>
    <n v="308"/>
    <n v="431"/>
    <n v="-123"/>
    <n v="426184"/>
    <n v="2.62"/>
    <n v="1783"/>
  </r>
  <r>
    <n v="4441"/>
    <n v="53292"/>
    <n v="159"/>
    <x v="2"/>
    <n v="9.4235532537716729E-2"/>
    <d v="2024-01-07T00:00:00"/>
    <s v="Instagram"/>
    <n v="226"/>
    <n v="445"/>
    <n v="-219"/>
    <n v="419447"/>
    <n v="9.36"/>
    <n v="9566"/>
  </r>
  <r>
    <n v="3000"/>
    <n v="36000"/>
    <n v="19"/>
    <x v="1"/>
    <n v="0.10297222222222223"/>
    <d v="2024-01-07T00:00:00"/>
    <s v="Facebook"/>
    <n v="505"/>
    <n v="441"/>
    <n v="64"/>
    <n v="220020"/>
    <n v="4.4800000000000004"/>
    <n v="42307"/>
  </r>
  <r>
    <n v="1071"/>
    <n v="16065"/>
    <n v="103"/>
    <x v="2"/>
    <n v="0.10034235916588857"/>
    <d v="2024-01-07T00:00:00"/>
    <s v="Twitter"/>
    <n v="1420"/>
    <n v="63"/>
    <n v="1357"/>
    <n v="315305"/>
    <n v="6.19"/>
    <n v="5914"/>
  </r>
  <r>
    <n v="4054"/>
    <n v="77026"/>
    <n v="25"/>
    <x v="2"/>
    <n v="6.3809622724794221E-2"/>
    <d v="2024-01-07T00:00:00"/>
    <s v="YouTube"/>
    <n v="144"/>
    <n v="53"/>
    <n v="91"/>
    <n v="113678"/>
    <n v="8.7200000000000006"/>
    <n v="30060"/>
  </r>
  <r>
    <n v="4838"/>
    <n v="72570"/>
    <n v="83"/>
    <x v="2"/>
    <n v="7.7249552156538517E-2"/>
    <d v="2024-08-07T00:00:00"/>
    <s v="Instagram"/>
    <n v="1757"/>
    <n v="85"/>
    <n v="1672"/>
    <n v="58223"/>
    <n v="8.74"/>
    <n v="22728"/>
  </r>
  <r>
    <n v="1570"/>
    <n v="25120"/>
    <n v="133"/>
    <x v="3"/>
    <n v="8.0294585987261149E-2"/>
    <d v="2024-08-07T00:00:00"/>
    <s v="Facebook"/>
    <n v="350"/>
    <n v="41"/>
    <n v="309"/>
    <n v="251694"/>
    <n v="1.91"/>
    <n v="38610"/>
  </r>
  <r>
    <n v="1606"/>
    <n v="32120"/>
    <n v="225"/>
    <x v="2"/>
    <n v="7.6867995018679955E-2"/>
    <d v="2024-08-07T00:00:00"/>
    <s v="Twitter"/>
    <n v="987"/>
    <n v="440"/>
    <n v="547"/>
    <n v="389810"/>
    <n v="4.66"/>
    <n v="2932"/>
  </r>
  <r>
    <n v="3961"/>
    <n v="67337"/>
    <n v="161"/>
    <x v="1"/>
    <n v="7.2070332803659209E-2"/>
    <d v="2024-08-07T00:00:00"/>
    <s v="YouTube"/>
    <n v="883"/>
    <n v="369"/>
    <n v="514"/>
    <n v="233694"/>
    <n v="2.88"/>
    <n v="15071"/>
  </r>
  <r>
    <n v="3128"/>
    <n v="59432"/>
    <n v="238"/>
    <x v="0"/>
    <n v="5.9496567505720827E-2"/>
    <s v="7/15/2024"/>
    <s v="Instagram"/>
    <n v="1960"/>
    <n v="115"/>
    <n v="1845"/>
    <n v="154169"/>
    <n v="3.74"/>
    <n v="10740"/>
  </r>
  <r>
    <n v="3009"/>
    <n v="42126"/>
    <n v="211"/>
    <x v="1"/>
    <n v="8.9730807577268201E-2"/>
    <s v="7/15/2024"/>
    <s v="Facebook"/>
    <n v="170"/>
    <n v="334"/>
    <n v="-164"/>
    <n v="334626"/>
    <n v="6.44"/>
    <n v="43420"/>
  </r>
  <r>
    <n v="2076"/>
    <n v="33216"/>
    <n v="51"/>
    <x v="3"/>
    <n v="7.1501685934489398E-2"/>
    <s v="7/15/2024"/>
    <s v="Twitter"/>
    <n v="704"/>
    <n v="275"/>
    <n v="429"/>
    <n v="226002"/>
    <n v="8.56"/>
    <n v="32393"/>
  </r>
  <r>
    <n v="432"/>
    <n v="6912"/>
    <n v="79"/>
    <x v="1"/>
    <n v="0.17057291666666666"/>
    <s v="7/15/2024"/>
    <s v="YouTube"/>
    <n v="224"/>
    <n v="64"/>
    <n v="160"/>
    <n v="156683"/>
    <n v="4.5599999999999996"/>
    <n v="28474"/>
  </r>
  <r>
    <n v="2566"/>
    <n v="12830"/>
    <n v="221"/>
    <x v="2"/>
    <n v="0.21208106001558846"/>
    <s v="7/22/2024"/>
    <s v="Instagram"/>
    <n v="508"/>
    <n v="349"/>
    <n v="159"/>
    <n v="473812"/>
    <n v="7.88"/>
    <n v="17328"/>
  </r>
  <r>
    <n v="3095"/>
    <n v="55710"/>
    <n v="93"/>
    <x v="3"/>
    <n v="5.7655717106444085E-2"/>
    <s v="7/22/2024"/>
    <s v="Facebook"/>
    <n v="1391"/>
    <n v="430"/>
    <n v="961"/>
    <n v="295032"/>
    <n v="7.86"/>
    <n v="26067"/>
  </r>
  <r>
    <n v="438"/>
    <n v="3066"/>
    <n v="282"/>
    <x v="3"/>
    <n v="0.28245270711024134"/>
    <s v="7/22/2024"/>
    <s v="Twitter"/>
    <n v="1701"/>
    <n v="385"/>
    <n v="1316"/>
    <n v="198278"/>
    <n v="5.34"/>
    <n v="32763"/>
  </r>
  <r>
    <n v="2278"/>
    <n v="13668"/>
    <n v="275"/>
    <x v="3"/>
    <n v="0.19088381621305239"/>
    <s v="7/22/2024"/>
    <s v="YouTube"/>
    <n v="804"/>
    <n v="487"/>
    <n v="317"/>
    <n v="306564"/>
    <n v="5.52"/>
    <n v="26452"/>
  </r>
  <r>
    <n v="1407"/>
    <n v="16884"/>
    <n v="113"/>
    <x v="2"/>
    <n v="0.12781331438047855"/>
    <s v="7/29/2024"/>
    <s v="Instagram"/>
    <n v="653"/>
    <n v="112"/>
    <n v="541"/>
    <n v="23664"/>
    <n v="4.05"/>
    <n v="15353"/>
  </r>
  <r>
    <n v="1652"/>
    <n v="29736"/>
    <n v="215"/>
    <x v="1"/>
    <n v="7.055421038471886E-2"/>
    <s v="7/29/2024"/>
    <s v="Facebook"/>
    <n v="160"/>
    <n v="478"/>
    <n v="-318"/>
    <n v="435034"/>
    <n v="7.73"/>
    <n v="4839"/>
  </r>
  <r>
    <n v="3775"/>
    <n v="33975"/>
    <n v="271"/>
    <x v="2"/>
    <n v="0.11861662987490802"/>
    <s v="7/29/2024"/>
    <s v="Twitter"/>
    <n v="1756"/>
    <n v="261"/>
    <n v="1495"/>
    <n v="287574"/>
    <n v="4.3600000000000003"/>
    <n v="39272"/>
  </r>
  <r>
    <n v="4518"/>
    <n v="67770"/>
    <n v="31"/>
    <x v="1"/>
    <n v="7.6523535487678915E-2"/>
    <s v="7/29/2024"/>
    <s v="YouTube"/>
    <n v="576"/>
    <n v="101"/>
    <n v="475"/>
    <n v="62499"/>
    <n v="3.48"/>
    <n v="16804"/>
  </r>
  <r>
    <n v="3024"/>
    <n v="24192"/>
    <n v="36"/>
    <x v="2"/>
    <n v="0.17770337301587302"/>
    <d v="2024-05-08T00:00:00"/>
    <s v="Instagram"/>
    <n v="645"/>
    <n v="293"/>
    <n v="352"/>
    <n v="437968"/>
    <n v="7.83"/>
    <n v="49303"/>
  </r>
  <r>
    <n v="3138"/>
    <n v="28242"/>
    <n v="87"/>
    <x v="3"/>
    <n v="0.12577012959422137"/>
    <d v="2024-05-08T00:00:00"/>
    <s v="Facebook"/>
    <n v="214"/>
    <n v="411"/>
    <n v="-197"/>
    <n v="125034"/>
    <n v="6.11"/>
    <n v="26455"/>
  </r>
  <r>
    <n v="3564"/>
    <n v="60588"/>
    <n v="92"/>
    <x v="2"/>
    <n v="7.2126493695121141E-2"/>
    <d v="2024-05-08T00:00:00"/>
    <s v="Twitter"/>
    <n v="826"/>
    <n v="498"/>
    <n v="328"/>
    <n v="449994"/>
    <n v="9.43"/>
    <n v="12384"/>
  </r>
  <r>
    <n v="4750"/>
    <n v="38000"/>
    <n v="299"/>
    <x v="1"/>
    <n v="0.13989473684210527"/>
    <d v="2024-05-08T00:00:00"/>
    <s v="YouTube"/>
    <n v="460"/>
    <n v="141"/>
    <n v="319"/>
    <n v="320650"/>
    <n v="4.04"/>
    <n v="49372"/>
  </r>
  <r>
    <n v="456"/>
    <n v="8208"/>
    <n v="205"/>
    <x v="2"/>
    <n v="0.18433235867446393"/>
    <d v="2024-12-08T00:00:00"/>
    <s v="Instagram"/>
    <n v="1528"/>
    <n v="203"/>
    <n v="1325"/>
    <n v="489188"/>
    <n v="6.23"/>
    <n v="47101"/>
  </r>
  <r>
    <n v="1543"/>
    <n v="12344"/>
    <n v="241"/>
    <x v="2"/>
    <n v="0.21840570317563188"/>
    <d v="2024-12-08T00:00:00"/>
    <s v="Facebook"/>
    <n v="1534"/>
    <n v="200"/>
    <n v="1334"/>
    <n v="307612"/>
    <n v="6.01"/>
    <n v="37903"/>
  </r>
  <r>
    <n v="2174"/>
    <n v="13044"/>
    <n v="137"/>
    <x v="3"/>
    <n v="0.21826126954921804"/>
    <d v="2024-12-08T00:00:00"/>
    <s v="Twitter"/>
    <n v="485"/>
    <n v="448"/>
    <n v="37"/>
    <n v="434883"/>
    <n v="8.5500000000000007"/>
    <n v="33258"/>
  </r>
  <r>
    <n v="2358"/>
    <n v="35370"/>
    <n v="216"/>
    <x v="0"/>
    <n v="9.8558100084817649E-2"/>
    <d v="2024-12-08T00:00:00"/>
    <s v="YouTube"/>
    <n v="1210"/>
    <n v="178"/>
    <n v="1032"/>
    <n v="102042"/>
    <n v="5.42"/>
    <n v="6915"/>
  </r>
  <r>
    <n v="3371"/>
    <n v="50565"/>
    <n v="176"/>
    <x v="3"/>
    <n v="7.5229902106199939E-2"/>
    <s v="8/19/2024"/>
    <s v="Instagram"/>
    <n v="215"/>
    <n v="139"/>
    <n v="76"/>
    <n v="325444"/>
    <n v="3.25"/>
    <n v="35501"/>
  </r>
  <r>
    <n v="1108"/>
    <n v="8864"/>
    <n v="97"/>
    <x v="3"/>
    <n v="0.16888537906137185"/>
    <s v="8/19/2024"/>
    <s v="Facebook"/>
    <n v="1078"/>
    <n v="20"/>
    <n v="1058"/>
    <n v="183924"/>
    <n v="8.84"/>
    <n v="14203"/>
  </r>
  <r>
    <n v="2704"/>
    <n v="21632"/>
    <n v="127"/>
    <x v="0"/>
    <n v="0.16683616863905326"/>
    <s v="8/19/2024"/>
    <s v="Twitter"/>
    <n v="1751"/>
    <n v="86"/>
    <n v="1665"/>
    <n v="188655"/>
    <n v="7.24"/>
    <n v="22206"/>
  </r>
  <r>
    <n v="1950"/>
    <n v="37050"/>
    <n v="119"/>
    <x v="3"/>
    <n v="7.349527665317139E-2"/>
    <s v="8/19/2024"/>
    <s v="YouTube"/>
    <n v="221"/>
    <n v="31"/>
    <n v="190"/>
    <n v="87443"/>
    <n v="6.19"/>
    <n v="10283"/>
  </r>
  <r>
    <n v="2164"/>
    <n v="28132"/>
    <n v="177"/>
    <x v="0"/>
    <n v="0.10617801791554102"/>
    <s v="8/26/2024"/>
    <s v="Instagram"/>
    <n v="1685"/>
    <n v="76"/>
    <n v="1609"/>
    <n v="453799"/>
    <n v="5.71"/>
    <n v="24913"/>
  </r>
  <r>
    <n v="2754"/>
    <n v="22032"/>
    <n v="112"/>
    <x v="0"/>
    <n v="0.13498547567175018"/>
    <s v="8/26/2024"/>
    <s v="Facebook"/>
    <n v="248"/>
    <n v="211"/>
    <n v="37"/>
    <n v="379380"/>
    <n v="9.0399999999999991"/>
    <n v="26925"/>
  </r>
  <r>
    <n v="2200"/>
    <n v="37400"/>
    <n v="225"/>
    <x v="2"/>
    <n v="7.8689839572192513E-2"/>
    <s v="8/26/2024"/>
    <s v="Twitter"/>
    <n v="1300"/>
    <n v="71"/>
    <n v="1229"/>
    <n v="186454"/>
    <n v="3.91"/>
    <n v="9942"/>
  </r>
  <r>
    <n v="947"/>
    <n v="10417"/>
    <n v="34"/>
    <x v="2"/>
    <n v="0.1569549774407219"/>
    <s v="8/26/2024"/>
    <s v="YouTube"/>
    <n v="422"/>
    <n v="394"/>
    <n v="28"/>
    <n v="239044"/>
    <n v="7.83"/>
    <n v="32929"/>
  </r>
  <r>
    <n v="804"/>
    <n v="4020"/>
    <n v="11"/>
    <x v="3"/>
    <n v="0.36965174129353234"/>
    <d v="2024-02-09T00:00:00"/>
    <s v="Instagram"/>
    <n v="1429"/>
    <n v="182"/>
    <n v="1247"/>
    <n v="101332"/>
    <n v="7.16"/>
    <n v="37829"/>
  </r>
  <r>
    <n v="1686"/>
    <n v="18546"/>
    <n v="52"/>
    <x v="1"/>
    <n v="0.16510298716704411"/>
    <d v="2024-02-09T00:00:00"/>
    <s v="Facebook"/>
    <n v="1520"/>
    <n v="475"/>
    <n v="1045"/>
    <n v="496982"/>
    <n v="6.41"/>
    <n v="24384"/>
  </r>
  <r>
    <n v="1226"/>
    <n v="14712"/>
    <n v="123"/>
    <x v="3"/>
    <n v="9.1897770527460579E-2"/>
    <d v="2024-02-09T00:00:00"/>
    <s v="Twitter"/>
    <n v="557"/>
    <n v="360"/>
    <n v="197"/>
    <n v="318779"/>
    <n v="8.02"/>
    <n v="25797"/>
  </r>
  <r>
    <n v="2946"/>
    <n v="29460"/>
    <n v="60"/>
    <x v="1"/>
    <n v="0.12936184657162253"/>
    <d v="2024-02-09T00:00:00"/>
    <s v="YouTube"/>
    <n v="728"/>
    <n v="395"/>
    <n v="333"/>
    <n v="370971"/>
    <n v="3.86"/>
    <n v="12646"/>
  </r>
  <r>
    <n v="2825"/>
    <n v="45200"/>
    <n v="169"/>
    <x v="1"/>
    <n v="8.0862831858407078E-2"/>
    <d v="2024-09-09T00:00:00"/>
    <s v="Instagram"/>
    <n v="1592"/>
    <n v="20"/>
    <n v="1572"/>
    <n v="378054"/>
    <n v="9.09"/>
    <n v="26663"/>
  </r>
  <r>
    <n v="103"/>
    <n v="1030"/>
    <n v="262"/>
    <x v="2"/>
    <n v="0.86601941747572819"/>
    <d v="2024-09-09T00:00:00"/>
    <s v="Facebook"/>
    <n v="1842"/>
    <n v="414"/>
    <n v="1428"/>
    <n v="307524"/>
    <n v="1.76"/>
    <n v="40478"/>
  </r>
  <r>
    <n v="2180"/>
    <n v="30520"/>
    <n v="174"/>
    <x v="0"/>
    <n v="9.2726081258191345E-2"/>
    <d v="2024-09-09T00:00:00"/>
    <s v="Twitter"/>
    <n v="751"/>
    <n v="491"/>
    <n v="260"/>
    <n v="434047"/>
    <n v="9.24"/>
    <n v="15476"/>
  </r>
  <r>
    <n v="904"/>
    <n v="11752"/>
    <n v="84"/>
    <x v="0"/>
    <n v="0.1650782845473111"/>
    <d v="2024-09-09T00:00:00"/>
    <s v="YouTube"/>
    <n v="1409"/>
    <n v="309"/>
    <n v="1100"/>
    <n v="64583"/>
    <n v="8.99"/>
    <n v="10217"/>
  </r>
  <r>
    <n v="4886"/>
    <n v="43974"/>
    <n v="65"/>
    <x v="0"/>
    <n v="0.14276618001546368"/>
    <s v="9/16/2024"/>
    <s v="Instagram"/>
    <n v="778"/>
    <n v="401"/>
    <n v="377"/>
    <n v="50793"/>
    <n v="3.4"/>
    <n v="21939"/>
  </r>
  <r>
    <n v="53"/>
    <n v="954"/>
    <n v="148"/>
    <x v="2"/>
    <n v="0.53773584905660377"/>
    <s v="9/16/2024"/>
    <s v="Facebook"/>
    <n v="443"/>
    <n v="345"/>
    <n v="98"/>
    <n v="474162"/>
    <n v="9.1999999999999993"/>
    <n v="47462"/>
  </r>
  <r>
    <n v="4507"/>
    <n v="90140"/>
    <n v="125"/>
    <x v="0"/>
    <n v="5.2551586421122697E-2"/>
    <s v="9/16/2024"/>
    <s v="Twitter"/>
    <n v="1472"/>
    <n v="347"/>
    <n v="1125"/>
    <n v="392355"/>
    <n v="8.59"/>
    <n v="30270"/>
  </r>
  <r>
    <n v="2878"/>
    <n v="43170"/>
    <n v="75"/>
    <x v="1"/>
    <n v="8.2047718322909427E-2"/>
    <s v="9/16/2024"/>
    <s v="YouTube"/>
    <n v="123"/>
    <n v="155"/>
    <n v="-32"/>
    <n v="119934"/>
    <n v="3.5"/>
    <n v="5442"/>
  </r>
  <r>
    <n v="1881"/>
    <n v="20691"/>
    <n v="289"/>
    <x v="1"/>
    <n v="0.11990720603160794"/>
    <s v="9/23/2024"/>
    <s v="Instagram"/>
    <n v="817"/>
    <n v="151"/>
    <n v="666"/>
    <n v="422625"/>
    <n v="2.36"/>
    <n v="1083"/>
  </r>
  <r>
    <n v="432"/>
    <n v="3024"/>
    <n v="184"/>
    <x v="2"/>
    <n v="0.29199735449735448"/>
    <s v="9/23/2024"/>
    <s v="Facebook"/>
    <n v="198"/>
    <n v="217"/>
    <n v="-19"/>
    <n v="239753"/>
    <n v="7.36"/>
    <n v="11901"/>
  </r>
  <r>
    <n v="4712"/>
    <n v="84816"/>
    <n v="100"/>
    <x v="0"/>
    <n v="6.3749764195434822E-2"/>
    <s v="9/23/2024"/>
    <s v="Twitter"/>
    <n v="1911"/>
    <n v="231"/>
    <n v="1680"/>
    <n v="268516"/>
    <n v="8.5500000000000007"/>
    <n v="24018"/>
  </r>
  <r>
    <n v="2610"/>
    <n v="15660"/>
    <n v="73"/>
    <x v="0"/>
    <n v="0.19310344827586207"/>
    <s v="9/23/2024"/>
    <s v="YouTube"/>
    <n v="1218"/>
    <n v="212"/>
    <n v="1006"/>
    <n v="63177"/>
    <n v="8.1300000000000008"/>
    <n v="38883"/>
  </r>
  <r>
    <n v="1292"/>
    <n v="25840"/>
    <n v="149"/>
    <x v="3"/>
    <n v="9.3421052631578946E-2"/>
    <s v="9/30/2024"/>
    <s v="Instagram"/>
    <n v="1433"/>
    <n v="408"/>
    <n v="1025"/>
    <n v="370269"/>
    <n v="3.3"/>
    <n v="30575"/>
  </r>
  <r>
    <n v="199"/>
    <n v="3582"/>
    <n v="43"/>
    <x v="0"/>
    <n v="0.38274706867671693"/>
    <s v="9/30/2024"/>
    <s v="Facebook"/>
    <n v="250"/>
    <n v="429"/>
    <n v="-179"/>
    <n v="453423"/>
    <n v="1.77"/>
    <n v="2315"/>
  </r>
  <r>
    <n v="2551"/>
    <n v="30612"/>
    <n v="227"/>
    <x v="1"/>
    <n v="0.1199202926956749"/>
    <s v="9/30/2024"/>
    <s v="Twitter"/>
    <n v="752"/>
    <n v="153"/>
    <n v="599"/>
    <n v="64906"/>
    <n v="2.09"/>
    <n v="12148"/>
  </r>
  <r>
    <n v="296"/>
    <n v="5624"/>
    <n v="88"/>
    <x v="3"/>
    <n v="8.837126600284495E-2"/>
    <s v="9/30/2024"/>
    <s v="YouTube"/>
    <n v="1918"/>
    <n v="212"/>
    <n v="1706"/>
    <n v="94360"/>
    <n v="7.36"/>
    <n v="36851"/>
  </r>
  <r>
    <n v="4126"/>
    <n v="78394"/>
    <n v="88"/>
    <x v="0"/>
    <n v="6.4265122330790625E-2"/>
    <d v="2024-07-10T00:00:00"/>
    <s v="Instagram"/>
    <n v="1939"/>
    <n v="67"/>
    <n v="1872"/>
    <n v="187183"/>
    <n v="6.25"/>
    <n v="41215"/>
  </r>
  <r>
    <n v="1855"/>
    <n v="16695"/>
    <n v="123"/>
    <x v="2"/>
    <n v="0.13351302785265048"/>
    <d v="2024-07-10T00:00:00"/>
    <s v="Facebook"/>
    <n v="1929"/>
    <n v="267"/>
    <n v="1662"/>
    <n v="379363"/>
    <n v="1.75"/>
    <n v="43836"/>
  </r>
  <r>
    <n v="1674"/>
    <n v="21762"/>
    <n v="255"/>
    <x v="2"/>
    <n v="0.12131237937689551"/>
    <d v="2024-07-10T00:00:00"/>
    <s v="Twitter"/>
    <n v="437"/>
    <n v="330"/>
    <n v="107"/>
    <n v="476486"/>
    <n v="4.97"/>
    <n v="4509"/>
  </r>
  <r>
    <n v="1121"/>
    <n v="15694"/>
    <n v="99"/>
    <x v="3"/>
    <n v="8.1177520071364848E-2"/>
    <d v="2024-07-10T00:00:00"/>
    <s v="YouTube"/>
    <n v="307"/>
    <n v="189"/>
    <n v="118"/>
    <n v="117767"/>
    <n v="9.3000000000000007"/>
    <n v="27822"/>
  </r>
  <r>
    <n v="1249"/>
    <n v="8743"/>
    <n v="63"/>
    <x v="2"/>
    <n v="0.20416333066453163"/>
    <s v="10/14/2024"/>
    <s v="Instagram"/>
    <n v="1527"/>
    <n v="303"/>
    <n v="1224"/>
    <n v="388555"/>
    <n v="8.9"/>
    <n v="36397"/>
  </r>
  <r>
    <n v="954"/>
    <n v="19080"/>
    <n v="21"/>
    <x v="2"/>
    <n v="8.2075471698113203E-2"/>
    <s v="10/14/2024"/>
    <s v="Facebook"/>
    <n v="643"/>
    <n v="358"/>
    <n v="285"/>
    <n v="157599"/>
    <n v="3.88"/>
    <n v="7285"/>
  </r>
  <r>
    <n v="3068"/>
    <n v="39884"/>
    <n v="266"/>
    <x v="2"/>
    <n v="8.860696018453515E-2"/>
    <s v="10/14/2024"/>
    <s v="Twitter"/>
    <n v="201"/>
    <n v="221"/>
    <n v="-20"/>
    <n v="309772"/>
    <n v="5.9"/>
    <n v="33174"/>
  </r>
  <r>
    <n v="2103"/>
    <n v="39957"/>
    <n v="28"/>
    <x v="1"/>
    <n v="7.7533348349475686E-2"/>
    <s v="10/14/2024"/>
    <s v="YouTube"/>
    <n v="414"/>
    <n v="47"/>
    <n v="367"/>
    <n v="199178"/>
    <n v="1.53"/>
    <n v="6742"/>
  </r>
  <r>
    <n v="1816"/>
    <n v="19976"/>
    <n v="283"/>
    <x v="2"/>
    <n v="9.4413295955146179E-2"/>
    <s v="10/21/2024"/>
    <s v="Instagram"/>
    <n v="703"/>
    <n v="441"/>
    <n v="262"/>
    <n v="357089"/>
    <n v="6.5"/>
    <n v="32478"/>
  </r>
  <r>
    <n v="725"/>
    <n v="14500"/>
    <n v="200"/>
    <x v="2"/>
    <n v="8.558620689655172E-2"/>
    <s v="10/21/2024"/>
    <s v="Facebook"/>
    <n v="508"/>
    <n v="69"/>
    <n v="439"/>
    <n v="23492"/>
    <n v="3.16"/>
    <n v="42824"/>
  </r>
  <r>
    <n v="1094"/>
    <n v="9846"/>
    <n v="112"/>
    <x v="2"/>
    <n v="0.16118220597196831"/>
    <s v="10/21/2024"/>
    <s v="Twitter"/>
    <n v="697"/>
    <n v="61"/>
    <n v="636"/>
    <n v="258287"/>
    <n v="8.25"/>
    <n v="21208"/>
  </r>
  <r>
    <n v="1841"/>
    <n v="34979"/>
    <n v="255"/>
    <x v="0"/>
    <n v="8.6737756939878216E-2"/>
    <s v="10/21/2024"/>
    <s v="YouTube"/>
    <n v="1707"/>
    <n v="223"/>
    <n v="1484"/>
    <n v="256910"/>
    <n v="5.41"/>
    <n v="44321"/>
  </r>
  <r>
    <n v="4177"/>
    <n v="25062"/>
    <n v="230"/>
    <x v="0"/>
    <n v="0.19156491900087783"/>
    <s v="10/28/2024"/>
    <s v="Instagram"/>
    <n v="642"/>
    <n v="66"/>
    <n v="576"/>
    <n v="346522"/>
    <n v="5.85"/>
    <n v="13116"/>
  </r>
  <r>
    <n v="3428"/>
    <n v="58276"/>
    <n v="242"/>
    <x v="2"/>
    <n v="6.5515821264328367E-2"/>
    <s v="10/28/2024"/>
    <s v="Facebook"/>
    <n v="859"/>
    <n v="473"/>
    <n v="386"/>
    <n v="209987"/>
    <n v="4.46"/>
    <n v="30214"/>
  </r>
  <r>
    <n v="1436"/>
    <n v="12924"/>
    <n v="197"/>
    <x v="1"/>
    <n v="0.20868152274837512"/>
    <s v="10/28/2024"/>
    <s v="Twitter"/>
    <n v="191"/>
    <n v="154"/>
    <n v="37"/>
    <n v="240550"/>
    <n v="5.22"/>
    <n v="15827"/>
  </r>
  <r>
    <n v="302"/>
    <n v="5738"/>
    <n v="25"/>
    <x v="1"/>
    <n v="0.13576158940397351"/>
    <s v="10/28/2024"/>
    <s v="YouTube"/>
    <n v="1814"/>
    <n v="157"/>
    <n v="1657"/>
    <n v="305827"/>
    <n v="1.99"/>
    <n v="46643"/>
  </r>
  <r>
    <n v="2214"/>
    <n v="15498"/>
    <n v="180"/>
    <x v="1"/>
    <n v="0.16873144921925409"/>
    <d v="2024-04-11T00:00:00"/>
    <s v="Instagram"/>
    <n v="1466"/>
    <n v="69"/>
    <n v="1397"/>
    <n v="54935"/>
    <n v="6.85"/>
    <n v="36484"/>
  </r>
  <r>
    <n v="3861"/>
    <n v="69498"/>
    <n v="297"/>
    <x v="1"/>
    <n v="7.0822181933293038E-2"/>
    <d v="2024-04-11T00:00:00"/>
    <s v="Facebook"/>
    <n v="947"/>
    <n v="407"/>
    <n v="540"/>
    <n v="319186"/>
    <n v="3.32"/>
    <n v="4996"/>
  </r>
  <r>
    <n v="1263"/>
    <n v="25260"/>
    <n v="137"/>
    <x v="1"/>
    <n v="7.984956452889945E-2"/>
    <d v="2024-04-11T00:00:00"/>
    <s v="Twitter"/>
    <n v="1821"/>
    <n v="218"/>
    <n v="1603"/>
    <n v="439080"/>
    <n v="5.68"/>
    <n v="36095"/>
  </r>
  <r>
    <n v="3801"/>
    <n v="38010"/>
    <n v="236"/>
    <x v="3"/>
    <n v="0.13599052880820836"/>
    <d v="2024-04-11T00:00:00"/>
    <s v="YouTube"/>
    <n v="1507"/>
    <n v="463"/>
    <n v="1044"/>
    <n v="258944"/>
    <n v="6.08"/>
    <n v="16443"/>
  </r>
  <r>
    <n v="1431"/>
    <n v="8586"/>
    <n v="150"/>
    <x v="0"/>
    <n v="0.28045655718611695"/>
    <d v="2024-11-11T00:00:00"/>
    <s v="Instagram"/>
    <n v="1075"/>
    <n v="173"/>
    <n v="902"/>
    <n v="51395"/>
    <n v="4.66"/>
    <n v="47812"/>
  </r>
  <r>
    <n v="2647"/>
    <n v="18529"/>
    <n v="46"/>
    <x v="1"/>
    <n v="0.16843866371633656"/>
    <d v="2024-11-11T00:00:00"/>
    <s v="Facebook"/>
    <n v="171"/>
    <n v="277"/>
    <n v="-106"/>
    <n v="309483"/>
    <n v="8.6999999999999993"/>
    <n v="38452"/>
  </r>
  <r>
    <n v="3182"/>
    <n v="57276"/>
    <n v="163"/>
    <x v="1"/>
    <n v="6.8108806480899509E-2"/>
    <d v="2024-11-11T00:00:00"/>
    <s v="Twitter"/>
    <n v="1487"/>
    <n v="337"/>
    <n v="1150"/>
    <n v="87305"/>
    <n v="2.46"/>
    <n v="30428"/>
  </r>
  <r>
    <n v="1238"/>
    <n v="19808"/>
    <n v="123"/>
    <x v="2"/>
    <n v="0.10339256865912763"/>
    <d v="2024-11-11T00:00:00"/>
    <s v="YouTube"/>
    <n v="454"/>
    <n v="105"/>
    <n v="349"/>
    <n v="121091"/>
    <n v="7.97"/>
    <n v="9269"/>
  </r>
  <r>
    <n v="4739"/>
    <n v="61607"/>
    <n v="36"/>
    <x v="1"/>
    <n v="8.7668609086629767E-2"/>
    <s v="11/18/2024"/>
    <s v="Instagram"/>
    <n v="187"/>
    <n v="236"/>
    <n v="-49"/>
    <n v="51087"/>
    <n v="9.41"/>
    <n v="29533"/>
  </r>
  <r>
    <n v="1575"/>
    <n v="25200"/>
    <n v="17"/>
    <x v="2"/>
    <n v="0.11238095238095239"/>
    <s v="11/18/2024"/>
    <s v="Facebook"/>
    <n v="513"/>
    <n v="441"/>
    <n v="72"/>
    <n v="338847"/>
    <n v="2.68"/>
    <n v="39997"/>
  </r>
  <r>
    <n v="4171"/>
    <n v="66736"/>
    <n v="173"/>
    <x v="2"/>
    <n v="7.2000119875329657E-2"/>
    <s v="11/18/2024"/>
    <s v="Twitter"/>
    <n v="628"/>
    <n v="183"/>
    <n v="445"/>
    <n v="487523"/>
    <n v="7.32"/>
    <n v="5391"/>
  </r>
  <r>
    <n v="1766"/>
    <n v="24724"/>
    <n v="52"/>
    <x v="0"/>
    <n v="9.2298980747451867E-2"/>
    <s v="11/18/2024"/>
    <s v="YouTube"/>
    <n v="278"/>
    <n v="218"/>
    <n v="60"/>
    <n v="301695"/>
    <n v="4.68"/>
    <n v="22373"/>
  </r>
  <r>
    <n v="4450"/>
    <n v="75650"/>
    <n v="12"/>
    <x v="1"/>
    <n v="7.3707865168539333E-2"/>
    <s v="11/25/2024"/>
    <s v="Instagram"/>
    <n v="1854"/>
    <n v="161"/>
    <n v="1693"/>
    <n v="282466"/>
    <n v="5.17"/>
    <n v="1810"/>
  </r>
  <r>
    <n v="1000"/>
    <n v="6000"/>
    <n v="223"/>
    <x v="2"/>
    <n v="0.35666666666666669"/>
    <s v="11/25/2024"/>
    <s v="Facebook"/>
    <n v="1710"/>
    <n v="378"/>
    <n v="1332"/>
    <n v="336661"/>
    <n v="6.2"/>
    <n v="28498"/>
  </r>
  <r>
    <n v="3689"/>
    <n v="40579"/>
    <n v="212"/>
    <x v="0"/>
    <n v="9.9632815002833983E-2"/>
    <s v="11/25/2024"/>
    <s v="Twitter"/>
    <n v="330"/>
    <n v="232"/>
    <n v="98"/>
    <n v="88455"/>
    <n v="2.69"/>
    <n v="39530"/>
  </r>
  <r>
    <n v="3655"/>
    <n v="32895"/>
    <n v="199"/>
    <x v="3"/>
    <n v="0.13707250341997265"/>
    <s v="11/25/2024"/>
    <s v="YouTube"/>
    <n v="1293"/>
    <n v="408"/>
    <n v="885"/>
    <n v="62535"/>
    <n v="8.9"/>
    <n v="37876"/>
  </r>
  <r>
    <n v="498"/>
    <n v="4482"/>
    <n v="32"/>
    <x v="3"/>
    <n v="0.12896028558679162"/>
    <d v="2024-02-12T00:00:00"/>
    <s v="Instagram"/>
    <n v="1696"/>
    <n v="71"/>
    <n v="1625"/>
    <n v="421957"/>
    <n v="3.79"/>
    <n v="36103"/>
  </r>
  <r>
    <n v="4619"/>
    <n v="69285"/>
    <n v="298"/>
    <x v="0"/>
    <n v="8.5718409468138843E-2"/>
    <d v="2024-02-12T00:00:00"/>
    <s v="Facebook"/>
    <n v="1902"/>
    <n v="196"/>
    <n v="1706"/>
    <n v="470269"/>
    <n v="4.79"/>
    <n v="26103"/>
  </r>
  <r>
    <n v="4832"/>
    <n v="91808"/>
    <n v="182"/>
    <x v="2"/>
    <n v="6.2467323109097243E-2"/>
    <d v="2024-02-12T00:00:00"/>
    <s v="Twitter"/>
    <n v="1441"/>
    <n v="268"/>
    <n v="1173"/>
    <n v="309904"/>
    <n v="6.37"/>
    <n v="3455"/>
  </r>
  <r>
    <n v="4050"/>
    <n v="52650"/>
    <n v="209"/>
    <x v="0"/>
    <n v="0.10005698005698006"/>
    <d v="2024-02-12T00:00:00"/>
    <s v="YouTube"/>
    <n v="452"/>
    <n v="161"/>
    <n v="291"/>
    <n v="221274"/>
    <n v="2.65"/>
    <n v="40888"/>
  </r>
  <r>
    <n v="3649"/>
    <n v="25543"/>
    <n v="167"/>
    <x v="0"/>
    <n v="0.16744313510550835"/>
    <d v="2024-09-12T00:00:00"/>
    <s v="Instagram"/>
    <n v="1494"/>
    <n v="375"/>
    <n v="1119"/>
    <n v="220616"/>
    <n v="1.81"/>
    <n v="22724"/>
  </r>
  <r>
    <n v="3523"/>
    <n v="38753"/>
    <n v="270"/>
    <x v="1"/>
    <n v="0.12277759141227776"/>
    <d v="2024-09-12T00:00:00"/>
    <s v="Facebook"/>
    <n v="1514"/>
    <n v="141"/>
    <n v="1373"/>
    <n v="35842"/>
    <n v="7.47"/>
    <n v="18601"/>
  </r>
  <r>
    <n v="2719"/>
    <n v="40785"/>
    <n v="40"/>
    <x v="2"/>
    <n v="7.4071349760941527E-2"/>
    <d v="2024-09-12T00:00:00"/>
    <s v="Twitter"/>
    <n v="1937"/>
    <n v="210"/>
    <n v="1727"/>
    <n v="20607"/>
    <n v="4.2"/>
    <n v="20861"/>
  </r>
  <r>
    <n v="1957"/>
    <n v="17613"/>
    <n v="297"/>
    <x v="2"/>
    <n v="0.17441662408448305"/>
    <d v="2024-09-12T00:00:00"/>
    <s v="YouTube"/>
    <n v="736"/>
    <n v="163"/>
    <n v="573"/>
    <n v="451894"/>
    <n v="5.43"/>
    <n v="46625"/>
  </r>
  <r>
    <n v="4419"/>
    <n v="44190"/>
    <n v="10"/>
    <x v="3"/>
    <n v="0.11369088028965829"/>
    <s v="12/16/2024"/>
    <s v="Instagram"/>
    <n v="1502"/>
    <n v="70"/>
    <n v="1432"/>
    <n v="465553"/>
    <n v="3.32"/>
    <n v="20692"/>
  </r>
  <r>
    <n v="4000"/>
    <n v="40000"/>
    <n v="44"/>
    <x v="2"/>
    <n v="0.12942500000000001"/>
    <s v="12/16/2024"/>
    <s v="Facebook"/>
    <n v="1623"/>
    <n v="246"/>
    <n v="1377"/>
    <n v="415815"/>
    <n v="8.11"/>
    <n v="18656"/>
  </r>
  <r>
    <n v="2493"/>
    <n v="42381"/>
    <n v="242"/>
    <x v="0"/>
    <n v="6.2150491965739366E-2"/>
    <s v="12/16/2024"/>
    <s v="Twitter"/>
    <n v="1592"/>
    <n v="233"/>
    <n v="1359"/>
    <n v="327183"/>
    <n v="6.66"/>
    <n v="13316"/>
  </r>
  <r>
    <n v="3704"/>
    <n v="25928"/>
    <n v="131"/>
    <x v="0"/>
    <n v="0.16769515581610614"/>
    <s v="12/16/2024"/>
    <s v="YouTube"/>
    <n v="1004"/>
    <n v="128"/>
    <n v="876"/>
    <n v="488901"/>
    <n v="8.09"/>
    <n v="49558"/>
  </r>
  <r>
    <n v="1606"/>
    <n v="20878"/>
    <n v="219"/>
    <x v="1"/>
    <n v="0.11792317271769326"/>
    <s v="12/23/2024"/>
    <s v="Instagram"/>
    <n v="1092"/>
    <n v="408"/>
    <n v="684"/>
    <n v="280795"/>
    <n v="8.44"/>
    <n v="4683"/>
  </r>
  <r>
    <n v="4551"/>
    <n v="68265"/>
    <n v="57"/>
    <x v="1"/>
    <n v="8.0158206987475278E-2"/>
    <s v="12/23/2024"/>
    <s v="Facebook"/>
    <n v="1155"/>
    <n v="425"/>
    <n v="730"/>
    <n v="93347"/>
    <n v="2.02"/>
    <n v="47502"/>
  </r>
  <r>
    <n v="1970"/>
    <n v="9850"/>
    <n v="117"/>
    <x v="3"/>
    <n v="0.31705583756345179"/>
    <s v="12/23/2024"/>
    <s v="Twitter"/>
    <n v="1137"/>
    <n v="226"/>
    <n v="911"/>
    <n v="81119"/>
    <n v="7.74"/>
    <n v="35359"/>
  </r>
  <r>
    <n v="780"/>
    <n v="8580"/>
    <n v="91"/>
    <x v="3"/>
    <n v="0.23414918414918415"/>
    <s v="12/23/2024"/>
    <s v="YouTube"/>
    <n v="1900"/>
    <n v="311"/>
    <n v="1589"/>
    <n v="25177"/>
    <n v="2.89"/>
    <n v="14154"/>
  </r>
  <r>
    <n v="498"/>
    <n v="4980"/>
    <n v="185"/>
    <x v="3"/>
    <n v="0.32349397590361445"/>
    <s v="12/30/2024"/>
    <s v="Instagram"/>
    <n v="1814"/>
    <n v="49"/>
    <n v="1765"/>
    <n v="140804"/>
    <n v="1.76"/>
    <n v="4313"/>
  </r>
  <r>
    <n v="3432"/>
    <n v="54912"/>
    <n v="264"/>
    <x v="1"/>
    <n v="8.0565268065268064E-2"/>
    <s v="12/30/2024"/>
    <s v="Facebook"/>
    <n v="1980"/>
    <n v="204"/>
    <n v="1776"/>
    <n v="379431"/>
    <n v="3.09"/>
    <n v="25140"/>
  </r>
  <r>
    <n v="4363"/>
    <n v="21815"/>
    <n v="157"/>
    <x v="1"/>
    <n v="0.23616777446710979"/>
    <s v="12/30/2024"/>
    <s v="Twitter"/>
    <n v="1786"/>
    <n v="257"/>
    <n v="1529"/>
    <n v="274831"/>
    <n v="4.68"/>
    <n v="9118"/>
  </r>
  <r>
    <n v="736"/>
    <n v="5152"/>
    <n v="19"/>
    <x v="2"/>
    <n v="0.33618012422360249"/>
    <s v="12/30/2024"/>
    <s v="YouTube"/>
    <n v="1495"/>
    <n v="35"/>
    <n v="1460"/>
    <n v="136845"/>
    <n v="4.4800000000000004"/>
    <n v="39931"/>
  </r>
  <r>
    <n v="3811"/>
    <n v="34299"/>
    <n v="233"/>
    <x v="2"/>
    <n v="0.14265722032712325"/>
    <d v="2025-06-01T00:00:00"/>
    <s v="Instagram"/>
    <n v="1013"/>
    <n v="110"/>
    <n v="903"/>
    <n v="466382"/>
    <n v="5.3"/>
    <n v="37132"/>
  </r>
  <r>
    <n v="4158"/>
    <n v="45738"/>
    <n v="142"/>
    <x v="1"/>
    <n v="9.9829463465827106E-2"/>
    <d v="2025-06-01T00:00:00"/>
    <s v="Facebook"/>
    <n v="816"/>
    <n v="196"/>
    <n v="620"/>
    <n v="95728"/>
    <n v="8.1999999999999993"/>
    <n v="17951"/>
  </r>
  <r>
    <n v="3452"/>
    <n v="65588"/>
    <n v="158"/>
    <x v="0"/>
    <n v="6.9311459413307311E-2"/>
    <d v="2025-06-01T00:00:00"/>
    <s v="Twitter"/>
    <n v="1633"/>
    <n v="445"/>
    <n v="1188"/>
    <n v="371156"/>
    <n v="2.2200000000000002"/>
    <n v="2798"/>
  </r>
  <r>
    <n v="3092"/>
    <n v="27828"/>
    <n v="102"/>
    <x v="3"/>
    <n v="0.12537731780940059"/>
    <d v="2025-06-01T00:00:00"/>
    <s v="YouTube"/>
    <n v="891"/>
    <n v="45"/>
    <n v="846"/>
    <n v="95410"/>
    <n v="8.33"/>
    <n v="15045"/>
  </r>
  <r>
    <n v="2147"/>
    <n v="17176"/>
    <n v="170"/>
    <x v="3"/>
    <n v="0.17291569632044715"/>
    <s v="1/13/2025"/>
    <s v="Instagram"/>
    <n v="1855"/>
    <n v="133"/>
    <n v="1722"/>
    <n v="349413"/>
    <n v="3.3"/>
    <n v="14548"/>
  </r>
  <r>
    <n v="2936"/>
    <n v="38168"/>
    <n v="22"/>
    <x v="2"/>
    <n v="8.9577656675749323E-2"/>
    <s v="1/13/2025"/>
    <s v="Facebook"/>
    <n v="651"/>
    <n v="353"/>
    <n v="298"/>
    <n v="224699"/>
    <n v="5.61"/>
    <n v="45708"/>
  </r>
  <r>
    <n v="4840"/>
    <n v="43560"/>
    <n v="57"/>
    <x v="1"/>
    <n v="0.13106060606060607"/>
    <s v="1/13/2025"/>
    <s v="Twitter"/>
    <n v="118"/>
    <n v="262"/>
    <n v="-144"/>
    <n v="487896"/>
    <n v="2.56"/>
    <n v="12350"/>
  </r>
  <r>
    <n v="1947"/>
    <n v="21417"/>
    <n v="186"/>
    <x v="1"/>
    <n v="0.13493953401503478"/>
    <s v="1/13/2025"/>
    <s v="YouTube"/>
    <n v="1331"/>
    <n v="430"/>
    <n v="901"/>
    <n v="14437"/>
    <n v="3.29"/>
    <n v="40868"/>
  </r>
  <r>
    <n v="2072"/>
    <n v="37296"/>
    <n v="25"/>
    <x v="2"/>
    <n v="7.172350922350923E-2"/>
    <s v="1/20/2025"/>
    <s v="Instagram"/>
    <n v="1748"/>
    <n v="176"/>
    <n v="1572"/>
    <n v="383681"/>
    <n v="9.24"/>
    <n v="43122"/>
  </r>
  <r>
    <n v="3731"/>
    <n v="55965"/>
    <n v="103"/>
    <x v="3"/>
    <n v="7.1133744304476013E-2"/>
    <s v="1/20/2025"/>
    <s v="Facebook"/>
    <n v="663"/>
    <n v="236"/>
    <n v="427"/>
    <n v="479490"/>
    <n v="4.51"/>
    <n v="23853"/>
  </r>
  <r>
    <n v="4213"/>
    <n v="75834"/>
    <n v="272"/>
    <x v="2"/>
    <n v="6.461481657304112E-2"/>
    <s v="1/20/2025"/>
    <s v="Twitter"/>
    <n v="1040"/>
    <n v="149"/>
    <n v="891"/>
    <n v="124404"/>
    <n v="5.23"/>
    <n v="45380"/>
  </r>
  <r>
    <n v="3134"/>
    <n v="21938"/>
    <n v="130"/>
    <x v="3"/>
    <n v="0.20357370772176134"/>
    <s v="1/20/2025"/>
    <s v="YouTube"/>
    <n v="1166"/>
    <n v="442"/>
    <n v="724"/>
    <n v="336949"/>
    <n v="4.68"/>
    <n v="7705"/>
  </r>
  <r>
    <n v="3008"/>
    <n v="15040"/>
    <n v="277"/>
    <x v="0"/>
    <n v="0.20871010638297871"/>
    <s v="1/27/2025"/>
    <s v="Instagram"/>
    <n v="115"/>
    <n v="281"/>
    <n v="-166"/>
    <n v="357265"/>
    <n v="9.23"/>
    <n v="25525"/>
  </r>
  <r>
    <n v="305"/>
    <n v="4575"/>
    <n v="234"/>
    <x v="3"/>
    <n v="0.16065573770491803"/>
    <s v="1/27/2025"/>
    <s v="Facebook"/>
    <n v="1249"/>
    <n v="351"/>
    <n v="898"/>
    <n v="321307"/>
    <n v="6.37"/>
    <n v="20560"/>
  </r>
  <r>
    <n v="2746"/>
    <n v="32952"/>
    <n v="147"/>
    <x v="1"/>
    <n v="9.422796795338674E-2"/>
    <s v="1/27/2025"/>
    <s v="Twitter"/>
    <n v="1501"/>
    <n v="75"/>
    <n v="1426"/>
    <n v="262569"/>
    <n v="2.0099999999999998"/>
    <n v="19119"/>
  </r>
  <r>
    <n v="2291"/>
    <n v="18328"/>
    <n v="10"/>
    <x v="0"/>
    <n v="0.15571802706241816"/>
    <s v="1/27/2025"/>
    <s v="YouTube"/>
    <n v="1411"/>
    <n v="186"/>
    <n v="1225"/>
    <n v="461669"/>
    <n v="3.72"/>
    <n v="43999"/>
  </r>
  <r>
    <n v="3170"/>
    <n v="19020"/>
    <n v="240"/>
    <x v="2"/>
    <n v="0.2316508937960042"/>
    <d v="2025-03-02T00:00:00"/>
    <s v="Instagram"/>
    <n v="1556"/>
    <n v="476"/>
    <n v="1080"/>
    <n v="351556"/>
    <n v="3.89"/>
    <n v="10825"/>
  </r>
  <r>
    <n v="2070"/>
    <n v="39330"/>
    <n v="114"/>
    <x v="3"/>
    <n v="6.9438087973557078E-2"/>
    <d v="2025-03-02T00:00:00"/>
    <s v="Facebook"/>
    <n v="1159"/>
    <n v="411"/>
    <n v="748"/>
    <n v="135987"/>
    <n v="8.6999999999999993"/>
    <n v="40323"/>
  </r>
  <r>
    <n v="80"/>
    <n v="1040"/>
    <n v="117"/>
    <x v="1"/>
    <n v="0.50192307692307692"/>
    <d v="2025-03-02T00:00:00"/>
    <s v="Twitter"/>
    <n v="927"/>
    <n v="358"/>
    <n v="569"/>
    <n v="177554"/>
    <n v="6.95"/>
    <n v="48270"/>
  </r>
  <r>
    <n v="4929"/>
    <n v="93651"/>
    <n v="66"/>
    <x v="0"/>
    <n v="6.5455787978772245E-2"/>
    <d v="2025-03-02T00:00:00"/>
    <s v="YouTube"/>
    <n v="152"/>
    <n v="355"/>
    <n v="-203"/>
    <n v="270766"/>
    <n v="9.48"/>
    <n v="18001"/>
  </r>
  <r>
    <n v="1878"/>
    <n v="37560"/>
    <n v="142"/>
    <x v="0"/>
    <n v="5.6416400425985093E-2"/>
    <d v="2025-10-02T00:00:00"/>
    <s v="Instagram"/>
    <n v="1957"/>
    <n v="234"/>
    <n v="1723"/>
    <n v="222126"/>
    <n v="4.6100000000000003"/>
    <n v="3314"/>
  </r>
  <r>
    <n v="3065"/>
    <n v="18390"/>
    <n v="200"/>
    <x v="0"/>
    <n v="0.21636759108210984"/>
    <d v="2025-10-02T00:00:00"/>
    <s v="Facebook"/>
    <n v="1294"/>
    <n v="382"/>
    <n v="912"/>
    <n v="309914"/>
    <n v="8.0299999999999994"/>
    <n v="23489"/>
  </r>
  <r>
    <n v="3256"/>
    <n v="26048"/>
    <n v="143"/>
    <x v="2"/>
    <n v="0.15283323095823095"/>
    <d v="2025-10-02T00:00:00"/>
    <s v="Twitter"/>
    <n v="1587"/>
    <n v="385"/>
    <n v="1202"/>
    <n v="126582"/>
    <n v="6.99"/>
    <n v="42832"/>
  </r>
  <r>
    <n v="4133"/>
    <n v="24798"/>
    <n v="176"/>
    <x v="1"/>
    <n v="0.19864505202032423"/>
    <d v="2025-10-02T00:00:00"/>
    <s v="YouTube"/>
    <n v="1707"/>
    <n v="263"/>
    <n v="1444"/>
    <n v="485280"/>
    <n v="9.0299999999999994"/>
    <n v="24494"/>
  </r>
  <r>
    <n v="1702"/>
    <n v="34040"/>
    <n v="76"/>
    <x v="2"/>
    <n v="7.7291421856639245E-2"/>
    <s v="2/17/2025"/>
    <s v="Instagram"/>
    <n v="1138"/>
    <n v="173"/>
    <n v="965"/>
    <n v="453243"/>
    <n v="2.86"/>
    <n v="44097"/>
  </r>
  <r>
    <n v="4295"/>
    <n v="85900"/>
    <n v="290"/>
    <x v="1"/>
    <n v="6.3713620488940623E-2"/>
    <s v="2/17/2025"/>
    <s v="Facebook"/>
    <n v="1895"/>
    <n v="305"/>
    <n v="1590"/>
    <n v="104967"/>
    <n v="3.85"/>
    <n v="31853"/>
  </r>
  <r>
    <n v="3559"/>
    <n v="35590"/>
    <n v="122"/>
    <x v="2"/>
    <n v="0.10977802753582468"/>
    <s v="2/17/2025"/>
    <s v="Twitter"/>
    <n v="362"/>
    <n v="399"/>
    <n v="-37"/>
    <n v="145608"/>
    <n v="7.3"/>
    <n v="37636"/>
  </r>
  <r>
    <n v="4804"/>
    <n v="28824"/>
    <n v="47"/>
    <x v="3"/>
    <n v="0.19511518179295032"/>
    <s v="2/17/2025"/>
    <s v="YouTube"/>
    <n v="1662"/>
    <n v="487"/>
    <n v="1175"/>
    <n v="105980"/>
    <n v="9.08"/>
    <n v="22996"/>
  </r>
  <r>
    <n v="754"/>
    <n v="6786"/>
    <n v="212"/>
    <x v="2"/>
    <n v="0.17801355732390214"/>
    <s v="2/24/2025"/>
    <s v="Instagram"/>
    <n v="1440"/>
    <n v="65"/>
    <n v="1375"/>
    <n v="126524"/>
    <n v="4.34"/>
    <n v="49772"/>
  </r>
  <r>
    <n v="985"/>
    <n v="6895"/>
    <n v="64"/>
    <x v="1"/>
    <n v="0.31965192168237855"/>
    <s v="2/24/2025"/>
    <s v="Facebook"/>
    <n v="1884"/>
    <n v="177"/>
    <n v="1707"/>
    <n v="230448"/>
    <n v="7.8"/>
    <n v="22713"/>
  </r>
  <r>
    <n v="2283"/>
    <n v="22830"/>
    <n v="143"/>
    <x v="2"/>
    <n v="0.11489268506351293"/>
    <s v="2/24/2025"/>
    <s v="Twitter"/>
    <n v="861"/>
    <n v="153"/>
    <n v="708"/>
    <n v="317007"/>
    <n v="3.85"/>
    <n v="8718"/>
  </r>
  <r>
    <n v="3352"/>
    <n v="43576"/>
    <n v="240"/>
    <x v="2"/>
    <n v="0.1095786671562328"/>
    <s v="2/24/2025"/>
    <s v="YouTube"/>
    <n v="1063"/>
    <n v="47"/>
    <n v="1016"/>
    <n v="464239"/>
    <n v="6.58"/>
    <n v="39031"/>
  </r>
  <r>
    <n v="4775"/>
    <n v="47750"/>
    <n v="187"/>
    <x v="3"/>
    <n v="0.10793717277486911"/>
    <d v="2025-03-03T00:00:00"/>
    <s v="Instagram"/>
    <n v="1371"/>
    <n v="56"/>
    <n v="1315"/>
    <n v="257579"/>
    <n v="8.6199999999999992"/>
    <n v="33799"/>
  </r>
  <r>
    <n v="1762"/>
    <n v="22906"/>
    <n v="25"/>
    <x v="1"/>
    <n v="0.11307081114118571"/>
    <d v="2025-03-03T00:00:00"/>
    <s v="Facebook"/>
    <n v="345"/>
    <n v="464"/>
    <n v="-119"/>
    <n v="366881"/>
    <n v="4.55"/>
    <n v="20553"/>
  </r>
  <r>
    <n v="2120"/>
    <n v="12720"/>
    <n v="17"/>
    <x v="1"/>
    <n v="0.21745283018867925"/>
    <d v="2025-03-03T00:00:00"/>
    <s v="Twitter"/>
    <n v="946"/>
    <n v="47"/>
    <n v="899"/>
    <n v="466575"/>
    <n v="8.33"/>
    <n v="10002"/>
  </r>
  <r>
    <n v="1082"/>
    <n v="19476"/>
    <n v="20"/>
    <x v="3"/>
    <n v="9.1137810638734856E-2"/>
    <d v="2025-03-03T00:00:00"/>
    <s v="YouTube"/>
    <n v="510"/>
    <n v="195"/>
    <n v="315"/>
    <n v="224534"/>
    <n v="9.4"/>
    <n v="30987"/>
  </r>
  <r>
    <n v="4671"/>
    <n v="51381"/>
    <n v="245"/>
    <x v="1"/>
    <n v="0.11508145034156594"/>
    <d v="2025-10-03T00:00:00"/>
    <s v="Instagram"/>
    <n v="393"/>
    <n v="181"/>
    <n v="212"/>
    <n v="462142"/>
    <n v="7.23"/>
    <n v="6296"/>
  </r>
  <r>
    <n v="3430"/>
    <n v="48020"/>
    <n v="120"/>
    <x v="1"/>
    <n v="8.6630570595585168E-2"/>
    <d v="2025-10-03T00:00:00"/>
    <s v="Facebook"/>
    <n v="1098"/>
    <n v="190"/>
    <n v="908"/>
    <n v="340842"/>
    <n v="9.39"/>
    <n v="21539"/>
  </r>
  <r>
    <n v="4501"/>
    <n v="22505"/>
    <n v="132"/>
    <x v="3"/>
    <n v="0.23101532992668297"/>
    <d v="2025-10-03T00:00:00"/>
    <s v="Twitter"/>
    <n v="1399"/>
    <n v="49"/>
    <n v="1350"/>
    <n v="12471"/>
    <n v="5.12"/>
    <n v="14722"/>
  </r>
  <r>
    <n v="4934"/>
    <n v="39472"/>
    <n v="169"/>
    <x v="1"/>
    <n v="0.15355188488042157"/>
    <d v="2025-10-03T00:00:00"/>
    <s v="YouTube"/>
    <n v="1658"/>
    <n v="416"/>
    <n v="1242"/>
    <n v="98397"/>
    <n v="6.11"/>
    <n v="11383"/>
  </r>
  <r>
    <n v="3239"/>
    <n v="22673"/>
    <n v="230"/>
    <x v="1"/>
    <n v="0.15405989502933004"/>
    <s v="3/17/2025"/>
    <s v="Instagram"/>
    <n v="1102"/>
    <n v="422"/>
    <n v="680"/>
    <n v="410330"/>
    <n v="7.74"/>
    <n v="9480"/>
  </r>
  <r>
    <n v="1076"/>
    <n v="11836"/>
    <n v="104"/>
    <x v="1"/>
    <n v="0.14320716458262928"/>
    <s v="3/17/2025"/>
    <s v="Facebook"/>
    <n v="1358"/>
    <n v="242"/>
    <n v="1116"/>
    <n v="342129"/>
    <n v="4.9400000000000004"/>
    <n v="29116"/>
  </r>
  <r>
    <n v="4771"/>
    <n v="57252"/>
    <n v="150"/>
    <x v="1"/>
    <n v="9.859917557465242E-2"/>
    <s v="3/17/2025"/>
    <s v="Twitter"/>
    <n v="1077"/>
    <n v="216"/>
    <n v="861"/>
    <n v="12447"/>
    <n v="1.8"/>
    <n v="14068"/>
  </r>
  <r>
    <n v="2418"/>
    <n v="43524"/>
    <n v="182"/>
    <x v="3"/>
    <n v="7.412002573292896E-2"/>
    <s v="3/17/2025"/>
    <s v="YouTube"/>
    <n v="1596"/>
    <n v="211"/>
    <n v="1385"/>
    <n v="17380"/>
    <n v="8.64"/>
    <n v="35801"/>
  </r>
  <r>
    <n v="3809"/>
    <n v="34281"/>
    <n v="83"/>
    <x v="2"/>
    <n v="0.12490884163239112"/>
    <s v="3/24/2025"/>
    <s v="Instagram"/>
    <n v="490"/>
    <n v="29"/>
    <n v="461"/>
    <n v="364810"/>
    <n v="1.53"/>
    <n v="49077"/>
  </r>
  <r>
    <n v="3577"/>
    <n v="67963"/>
    <n v="53"/>
    <x v="3"/>
    <n v="6.8655003457763777E-2"/>
    <s v="3/24/2025"/>
    <s v="Facebook"/>
    <n v="609"/>
    <n v="135"/>
    <n v="474"/>
    <n v="373606"/>
    <n v="8.52"/>
    <n v="21453"/>
  </r>
  <r>
    <n v="1018"/>
    <n v="18324"/>
    <n v="38"/>
    <x v="3"/>
    <n v="9.8068107400130972E-2"/>
    <s v="3/24/2025"/>
    <s v="Twitter"/>
    <n v="364"/>
    <n v="72"/>
    <n v="292"/>
    <n v="211090"/>
    <n v="5.53"/>
    <n v="21061"/>
  </r>
  <r>
    <n v="3073"/>
    <n v="52241"/>
    <n v="246"/>
    <x v="3"/>
    <n v="7.2739802071170159E-2"/>
    <s v="3/24/2025"/>
    <s v="YouTube"/>
    <n v="442"/>
    <n v="53"/>
    <n v="389"/>
    <n v="441931"/>
    <n v="1.87"/>
    <n v="20059"/>
  </r>
  <r>
    <n v="1330"/>
    <n v="15960"/>
    <n v="229"/>
    <x v="3"/>
    <n v="0.14348370927318296"/>
    <s v="3/31/2025"/>
    <s v="Instagram"/>
    <n v="1033"/>
    <n v="392"/>
    <n v="641"/>
    <n v="282780"/>
    <n v="6.27"/>
    <n v="23140"/>
  </r>
  <r>
    <n v="3828"/>
    <n v="30624"/>
    <n v="235"/>
    <x v="3"/>
    <n v="0.13809430512016718"/>
    <s v="3/31/2025"/>
    <s v="Facebook"/>
    <n v="988"/>
    <n v="474"/>
    <n v="514"/>
    <n v="370070"/>
    <n v="9.4600000000000009"/>
    <n v="23461"/>
  </r>
  <r>
    <n v="142"/>
    <n v="1704"/>
    <n v="154"/>
    <x v="0"/>
    <n v="0.6508215962441315"/>
    <s v="3/31/2025"/>
    <s v="Twitter"/>
    <n v="1946"/>
    <n v="270"/>
    <n v="1676"/>
    <n v="198350"/>
    <n v="7.5"/>
    <n v="11805"/>
  </r>
  <r>
    <n v="3798"/>
    <n v="75960"/>
    <n v="266"/>
    <x v="1"/>
    <n v="5.4081095313322801E-2"/>
    <s v="3/31/2025"/>
    <s v="YouTube"/>
    <n v="1957"/>
    <n v="490"/>
    <n v="1467"/>
    <n v="435726"/>
    <n v="4.7300000000000004"/>
    <n v="15969"/>
  </r>
  <r>
    <n v="3099"/>
    <n v="43386"/>
    <n v="52"/>
    <x v="3"/>
    <n v="9.1365878393951966E-2"/>
    <d v="2025-07-04T00:00:00"/>
    <s v="Instagram"/>
    <n v="559"/>
    <n v="392"/>
    <n v="167"/>
    <n v="78789"/>
    <n v="3.19"/>
    <n v="2436"/>
  </r>
  <r>
    <n v="129"/>
    <n v="1290"/>
    <n v="238"/>
    <x v="3"/>
    <n v="0.70387596899224802"/>
    <d v="2025-07-04T00:00:00"/>
    <s v="Facebook"/>
    <n v="1307"/>
    <n v="278"/>
    <n v="1029"/>
    <n v="98596"/>
    <n v="2.4900000000000002"/>
    <n v="47603"/>
  </r>
  <r>
    <n v="3796"/>
    <n v="64532"/>
    <n v="292"/>
    <x v="0"/>
    <n v="7.5280481001673588E-2"/>
    <d v="2025-07-04T00:00:00"/>
    <s v="Twitter"/>
    <n v="1432"/>
    <n v="425"/>
    <n v="1007"/>
    <n v="29589"/>
    <n v="4.5"/>
    <n v="42964"/>
  </r>
  <r>
    <n v="3711"/>
    <n v="48243"/>
    <n v="11"/>
    <x v="3"/>
    <n v="9.023070704558174E-2"/>
    <d v="2025-07-04T00:00:00"/>
    <s v="YouTube"/>
    <n v="623"/>
    <n v="414"/>
    <n v="209"/>
    <n v="290354"/>
    <n v="6.49"/>
    <n v="39923"/>
  </r>
  <r>
    <n v="606"/>
    <n v="7878"/>
    <n v="239"/>
    <x v="1"/>
    <n v="0.23673521198273673"/>
    <s v="4/14/2025"/>
    <s v="Instagram"/>
    <n v="198"/>
    <n v="358"/>
    <n v="-160"/>
    <n v="66682"/>
    <n v="6.73"/>
    <n v="2293"/>
  </r>
  <r>
    <n v="4689"/>
    <n v="51579"/>
    <n v="173"/>
    <x v="0"/>
    <n v="0.10132030477519921"/>
    <s v="4/14/2025"/>
    <s v="Facebook"/>
    <n v="198"/>
    <n v="373"/>
    <n v="-175"/>
    <n v="70707"/>
    <n v="4.83"/>
    <n v="25920"/>
  </r>
  <r>
    <n v="360"/>
    <n v="4680"/>
    <n v="208"/>
    <x v="1"/>
    <n v="0.28696581196581195"/>
    <s v="4/14/2025"/>
    <s v="Twitter"/>
    <n v="353"/>
    <n v="300"/>
    <n v="53"/>
    <n v="142507"/>
    <n v="5.3"/>
    <n v="11035"/>
  </r>
  <r>
    <n v="3215"/>
    <n v="32150"/>
    <n v="251"/>
    <x v="2"/>
    <n v="0.13614307931570763"/>
    <s v="4/14/2025"/>
    <s v="YouTube"/>
    <n v="520"/>
    <n v="375"/>
    <n v="145"/>
    <n v="369525"/>
    <n v="6.54"/>
    <n v="20733"/>
  </r>
  <r>
    <n v="4523"/>
    <n v="49753"/>
    <n v="71"/>
    <x v="3"/>
    <n v="9.5290736237010829E-2"/>
    <s v="4/21/2025"/>
    <s v="Instagram"/>
    <n v="961"/>
    <n v="358"/>
    <n v="603"/>
    <n v="62942"/>
    <n v="6.8"/>
    <n v="18693"/>
  </r>
  <r>
    <n v="4292"/>
    <n v="55796"/>
    <n v="264"/>
    <x v="0"/>
    <n v="8.4862714173059003E-2"/>
    <s v="4/21/2025"/>
    <s v="Facebook"/>
    <n v="1375"/>
    <n v="330"/>
    <n v="1045"/>
    <n v="377382"/>
    <n v="2.6"/>
    <n v="7875"/>
  </r>
  <r>
    <n v="1644"/>
    <n v="27948"/>
    <n v="300"/>
    <x v="0"/>
    <n v="8.3726921425504502E-2"/>
    <s v="4/21/2025"/>
    <s v="Twitter"/>
    <n v="1147"/>
    <n v="388"/>
    <n v="759"/>
    <n v="333851"/>
    <n v="2.44"/>
    <n v="8471"/>
  </r>
  <r>
    <n v="2728"/>
    <n v="40920"/>
    <n v="137"/>
    <x v="1"/>
    <n v="8.4946236559139784E-2"/>
    <s v="4/21/2025"/>
    <s v="YouTube"/>
    <n v="1707"/>
    <n v="74"/>
    <n v="1633"/>
    <n v="270958"/>
    <n v="3.09"/>
    <n v="14090"/>
  </r>
  <r>
    <n v="3360"/>
    <n v="60480"/>
    <n v="192"/>
    <x v="0"/>
    <n v="7.2503306878306875E-2"/>
    <s v="4/28/2025"/>
    <s v="Instagram"/>
    <n v="1693"/>
    <n v="154"/>
    <n v="1539"/>
    <n v="445944"/>
    <n v="5.69"/>
    <n v="14216"/>
  </r>
  <r>
    <n v="1963"/>
    <n v="39260"/>
    <n v="145"/>
    <x v="0"/>
    <n v="5.5909322465613857E-2"/>
    <s v="4/28/2025"/>
    <s v="Facebook"/>
    <n v="833"/>
    <n v="380"/>
    <n v="453"/>
    <n v="224830"/>
    <n v="3.86"/>
    <n v="3582"/>
  </r>
  <r>
    <n v="4285"/>
    <n v="55705"/>
    <n v="51"/>
    <x v="3"/>
    <n v="9.9578134817341346E-2"/>
    <s v="4/28/2025"/>
    <s v="Twitter"/>
    <n v="1222"/>
    <n v="274"/>
    <n v="948"/>
    <n v="487289"/>
    <n v="3.16"/>
    <n v="32500"/>
  </r>
  <r>
    <n v="1176"/>
    <n v="14112"/>
    <n v="272"/>
    <x v="0"/>
    <n v="0.1441326530612245"/>
    <s v="4/28/2025"/>
    <s v="YouTube"/>
    <n v="777"/>
    <n v="140"/>
    <n v="637"/>
    <n v="11435"/>
    <n v="1.6"/>
    <n v="6832"/>
  </r>
  <r>
    <n v="4858"/>
    <n v="53438"/>
    <n v="223"/>
    <x v="0"/>
    <n v="9.9255211647142488E-2"/>
    <d v="2025-05-05T00:00:00"/>
    <s v="Instagram"/>
    <n v="1957"/>
    <n v="76"/>
    <n v="1881"/>
    <n v="447902"/>
    <n v="6.09"/>
    <n v="33381"/>
  </r>
  <r>
    <n v="4350"/>
    <n v="60900"/>
    <n v="195"/>
    <x v="1"/>
    <n v="8.4203612479474554E-2"/>
    <d v="2025-05-05T00:00:00"/>
    <s v="Facebook"/>
    <n v="405"/>
    <n v="66"/>
    <n v="339"/>
    <n v="418696"/>
    <n v="5.59"/>
    <n v="48419"/>
  </r>
  <r>
    <n v="914"/>
    <n v="11882"/>
    <n v="282"/>
    <x v="2"/>
    <n v="0.13667732704931829"/>
    <d v="2025-05-05T00:00:00"/>
    <s v="Twitter"/>
    <n v="1581"/>
    <n v="71"/>
    <n v="1510"/>
    <n v="484364"/>
    <n v="3.55"/>
    <n v="16149"/>
  </r>
  <r>
    <n v="1813"/>
    <n v="19943"/>
    <n v="85"/>
    <x v="2"/>
    <n v="0.12575841147269717"/>
    <d v="2025-05-05T00:00:00"/>
    <s v="YouTube"/>
    <n v="1035"/>
    <n v="171"/>
    <n v="864"/>
    <n v="148477"/>
    <n v="5.21"/>
    <n v="7541"/>
  </r>
  <r>
    <n v="4782"/>
    <n v="86076"/>
    <n v="19"/>
    <x v="1"/>
    <n v="6.4884520656164318E-2"/>
    <d v="2025-12-05T00:00:00"/>
    <s v="Instagram"/>
    <n v="1765"/>
    <n v="109"/>
    <n v="1656"/>
    <n v="468301"/>
    <n v="1.82"/>
    <n v="20042"/>
  </r>
  <r>
    <n v="1048"/>
    <n v="9432"/>
    <n v="158"/>
    <x v="1"/>
    <n v="0.19847328244274809"/>
    <d v="2025-12-05T00:00:00"/>
    <s v="Facebook"/>
    <n v="837"/>
    <n v="430"/>
    <n v="407"/>
    <n v="364820"/>
    <n v="4"/>
    <n v="49400"/>
  </r>
  <r>
    <n v="2509"/>
    <n v="35126"/>
    <n v="277"/>
    <x v="1"/>
    <n v="8.5520696919660646E-2"/>
    <d v="2025-12-05T00:00:00"/>
    <s v="Twitter"/>
    <n v="337"/>
    <n v="68"/>
    <n v="269"/>
    <n v="456298"/>
    <n v="7.57"/>
    <n v="4007"/>
  </r>
  <r>
    <n v="3718"/>
    <n v="70642"/>
    <n v="233"/>
    <x v="0"/>
    <n v="6.246991874522239E-2"/>
    <d v="2025-12-05T00:00:00"/>
    <s v="YouTube"/>
    <n v="119"/>
    <n v="456"/>
    <n v="-337"/>
    <n v="82558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487F7-F482-49C5-8533-CE14E9D559FD}" name="PivotTable3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D7" firstHeaderRow="0" firstDataRow="1" firstDataCol="1"/>
  <pivotFields count="4">
    <pivotField axis="axisRow" showAll="0">
      <items count="6">
        <item x="0"/>
        <item x="1"/>
        <item x="4"/>
        <item x="2"/>
        <item x="3"/>
        <item t="default"/>
      </items>
    </pivotField>
    <pivotField dataField="1" numFmtId="1" showAll="0"/>
    <pivotField dataField="1" numFmtId="1" showAll="0"/>
    <pivotField dataField="1" numFmtI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erage of Impressions" fld="1" baseField="0" baseItem="0" numFmtId="1"/>
    <dataField name="Sum of Average of Clicks" fld="2" baseField="0" baseItem="0" numFmtId="1"/>
    <dataField name="Sum of Average of Likes" fld="3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BD5D7-DF6F-44F0-90BC-5C10126B4F2D}" name="PivotTable3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0" firstDataRow="1" firstDataCol="1"/>
  <pivotFields count="4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ressions" fld="1" subtotal="average" baseField="0" baseItem="0" numFmtId="1"/>
    <dataField name="Average of Clicks" fld="2" subtotal="average" baseField="0" baseItem="0" numFmtId="1"/>
    <dataField name="Average of Likes" fld="3" subtotal="average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Engagement Rate"/>
    <pivotHierarchy dragToData="1" caption="Average of Impressions"/>
    <pivotHierarchy dragToData="1" caption="Average of Clicks"/>
    <pivotHierarchy dragToData="1" caption="Average of Lik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able3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FE0D7-B198-46DB-97A1-F96D07105943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2" subtotal="average" baseField="0" baseItem="0"/>
    <dataField name="Sum of Ad_Spen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Engagement_Rate"/>
    <pivotHierarchy dragToData="1" caption="Sum of Ad_Spend"/>
    <pivotHierarchy dragToData="1" caption="Average of Engagement_Rate"/>
    <pivotHierarchy dragToData="1" caption="Average of Ad_Spen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  <x15:activeTabTopLevelEntity name="[Table4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C67C4-9764-4B91-9434-63A1FF6291CA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follower_" fld="9" baseField="0" baseItem="0"/>
  </dataFields>
  <formats count="8">
    <format dxfId="8">
      <pivotArea type="all" dataOnly="0" outline="0" fieldPosition="0"/>
    </format>
    <format dxfId="7">
      <pivotArea outline="0" collapsedLevelsAreSubtotals="1" fieldPosition="0"/>
    </format>
    <format dxfId="6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1">
      <pivotArea collapsedLevelsAreSubtotals="1" fieldPosition="0">
        <references count="1">
          <reference field="3" count="1">
            <x v="2"/>
          </reference>
        </references>
      </pivotArea>
    </format>
    <format dxfId="0">
      <pivotArea dataOnly="0" labelOnly="1" fieldPosition="0">
        <references count="1">
          <reference field="3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59090F0-7E52-4E7A-A301-3EAE9B157029}" autoFormatId="16" applyNumberFormats="0" applyBorderFormats="0" applyFontFormats="0" applyPatternFormats="0" applyAlignmentFormats="0" applyWidthHeightFormats="0">
  <queryTableRefresh nextId="8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2BF21-FB8A-409D-A08C-3FFB94D97BB1}" name="Sheet3" displayName="Sheet3" ref="A1:F5" tableType="queryTable" totalsRowShown="0">
  <autoFilter ref="A1:F5" xr:uid="{2182BF21-FB8A-409D-A08C-3FFB94D97BB1}"/>
  <tableColumns count="6">
    <tableColumn id="1" xr3:uid="{A9C1F291-8ED0-44F5-A2AB-03514AE958EC}" uniqueName="1" name="Campaign_Name" queryTableFieldId="1" dataDxfId="27"/>
    <tableColumn id="2" xr3:uid="{D7C989D7-49AE-4DFB-B199-A87D78165530}" uniqueName="2" name="Start_Date" queryTableFieldId="2" dataDxfId="26"/>
    <tableColumn id="3" xr3:uid="{507F4B65-ADC2-42AE-AFFE-8F9C82D8D301}" uniqueName="3" name="End_Date" queryTableFieldId="3" dataDxfId="25"/>
    <tableColumn id="4" xr3:uid="{237F871A-B30B-467D-BFCF-DCC048AD2694}" uniqueName="4" name="Objective" queryTableFieldId="4" dataDxfId="24"/>
    <tableColumn id="5" xr3:uid="{25B70FDB-683D-4B4B-9FC9-B659A3C60AC5}" uniqueName="5" name="Total_Budget" queryTableFieldId="5"/>
    <tableColumn id="6" xr3:uid="{2959B3C3-04A8-45FB-9F10-EE6882D47903}" uniqueName="6" name="Target_Platforms" queryTableFieldId="6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543EDF-E46D-4C7E-8A33-E131CE37949A}" name="Table3" displayName="Table3" ref="B1:E301" totalsRowShown="0">
  <autoFilter ref="B1:E301" xr:uid="{EA543EDF-E46D-4C7E-8A33-E131CE37949A}"/>
  <tableColumns count="4">
    <tableColumn id="1" xr3:uid="{5B5D0C85-FB64-4315-A6DE-7DAE2D3671A6}" name="Impressions"/>
    <tableColumn id="2" xr3:uid="{086CDA85-B21E-4EE9-BBFC-4AE38969D688}" name="Clicks"/>
    <tableColumn id="3" xr3:uid="{0F536066-31F1-4D71-B947-0D4CA67429EF}" name="Campaign_Name"/>
    <tableColumn id="4" xr3:uid="{F38510D8-45AE-4B81-91E4-7E4EC35C0539}" name="Engagement Rate" dataDxfId="2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56788A-121F-4FF4-AD27-D35F25F5A37A}" name="Table4" displayName="Table4" ref="A1:A299" totalsRowShown="0">
  <autoFilter ref="A1:A299" xr:uid="{6C56788A-121F-4FF4-AD27-D35F25F5A37A}"/>
  <tableColumns count="1">
    <tableColumn id="1" xr3:uid="{D3144B7C-6467-4F04-BB56-160BD5E2F481}" name="Like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5A9D4-B424-47B0-B69C-4E6345447C6E}" name="Table43" displayName="Table43" ref="F1:M201" totalsRowShown="0" headerRowDxfId="21" dataDxfId="19" headerRowBorderDxfId="20" tableBorderDxfId="18" totalsRowBorderDxfId="17">
  <autoFilter ref="F1:M201" xr:uid="{7F05A9D4-B424-47B0-B69C-4E6345447C6E}"/>
  <tableColumns count="8">
    <tableColumn id="1" xr3:uid="{C19EA008-2AB4-49D8-91F2-F2F998FF6073}" name="Week_Start_Date" dataDxfId="16"/>
    <tableColumn id="2" xr3:uid="{DC2612F1-0D3D-4E91-8D47-CF290EBD1C48}" name="Platform" dataDxfId="15"/>
    <tableColumn id="3" xr3:uid="{D66F478B-09D5-4F5E-AFA4-E54241BA2675}" name="New_Followers" dataDxfId="14"/>
    <tableColumn id="4" xr3:uid="{65EA3483-05D4-45AE-8060-69A003A09487}" name="Unfollows" dataDxfId="13"/>
    <tableColumn id="11" xr3:uid="{6953E145-68F5-4E80-9ADF-665F1C3A028E}" name="Net_follower_" dataDxfId="12">
      <calculatedColumnFormula>Table43[[#This Row],[New_Followers]]-Table43[[#This Row],[Unfollows]]</calculatedColumnFormula>
    </tableColumn>
    <tableColumn id="5" xr3:uid="{C4B7E2F7-9F58-4F83-97D2-1C948A863D75}" name="Total_Followers" dataDxfId="11"/>
    <tableColumn id="6" xr3:uid="{84D9E0E6-3795-4E01-9C61-9CFFE0721885}" name="Engagement_Rate" dataDxfId="10"/>
    <tableColumn id="7" xr3:uid="{B561B6DF-3B5F-4011-8540-13AAD55D6142}" name="Ad_Spend" dataDxfId="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E4EA-3A90-439E-8170-E020896182B7}">
  <dimension ref="A1:F5"/>
  <sheetViews>
    <sheetView tabSelected="1" workbookViewId="0">
      <selection activeCell="I6" sqref="I6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26.33203125" bestFit="1" customWidth="1"/>
    <col min="5" max="5" width="14.44140625" bestFit="1" customWidth="1"/>
    <col min="6" max="6" width="17.77734375" bestFit="1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0</v>
      </c>
      <c r="B2" s="1">
        <v>45453</v>
      </c>
      <c r="C2" s="1">
        <v>45478</v>
      </c>
      <c r="D2" t="s">
        <v>1</v>
      </c>
      <c r="E2">
        <v>180000</v>
      </c>
      <c r="F2" t="s">
        <v>2</v>
      </c>
    </row>
    <row r="3" spans="1:6" x14ac:dyDescent="0.3">
      <c r="A3" t="s">
        <v>3</v>
      </c>
      <c r="B3" s="1">
        <v>45505</v>
      </c>
      <c r="C3" s="1">
        <v>45535</v>
      </c>
      <c r="D3" t="s">
        <v>4</v>
      </c>
      <c r="E3">
        <v>160000</v>
      </c>
      <c r="F3" t="s">
        <v>5</v>
      </c>
    </row>
    <row r="4" spans="1:6" x14ac:dyDescent="0.3">
      <c r="A4" t="s">
        <v>6</v>
      </c>
      <c r="B4" s="1">
        <v>45570</v>
      </c>
      <c r="C4" s="1">
        <v>45601</v>
      </c>
      <c r="D4" t="s">
        <v>7</v>
      </c>
      <c r="E4">
        <v>220000</v>
      </c>
      <c r="F4" t="s">
        <v>8</v>
      </c>
    </row>
    <row r="5" spans="1:6" x14ac:dyDescent="0.3">
      <c r="A5" t="s">
        <v>9</v>
      </c>
      <c r="B5" s="1">
        <v>45667</v>
      </c>
      <c r="C5" s="1">
        <v>45698</v>
      </c>
      <c r="D5" t="s">
        <v>10</v>
      </c>
      <c r="E5">
        <v>200000</v>
      </c>
      <c r="F5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3009-09D4-4FAB-8029-C70BDEAFFEA3}">
  <sheetPr>
    <tabColor theme="0"/>
  </sheetPr>
  <dimension ref="A1:M301"/>
  <sheetViews>
    <sheetView workbookViewId="0">
      <selection activeCell="A201" sqref="A1:M201"/>
    </sheetView>
  </sheetViews>
  <sheetFormatPr defaultRowHeight="14.4" x14ac:dyDescent="0.3"/>
  <cols>
    <col min="1" max="1" width="7.33203125" bestFit="1" customWidth="1"/>
    <col min="2" max="2" width="13.21875" bestFit="1" customWidth="1"/>
    <col min="3" max="3" width="7.88671875" bestFit="1" customWidth="1"/>
    <col min="4" max="4" width="17.77734375" bestFit="1" customWidth="1"/>
    <col min="5" max="5" width="18.109375" bestFit="1" customWidth="1"/>
    <col min="6" max="6" width="17" bestFit="1" customWidth="1"/>
    <col min="7" max="7" width="10.5546875" bestFit="1" customWidth="1"/>
    <col min="8" max="8" width="15.109375" bestFit="1" customWidth="1"/>
    <col min="9" max="9" width="11.6640625" bestFit="1" customWidth="1"/>
    <col min="10" max="10" width="13.44140625" bestFit="1" customWidth="1"/>
    <col min="11" max="11" width="13.88671875" bestFit="1" customWidth="1"/>
    <col min="12" max="12" width="17" bestFit="1" customWidth="1"/>
    <col min="13" max="13" width="11.88671875" bestFit="1" customWidth="1"/>
    <col min="16" max="16" width="10.44140625" customWidth="1"/>
  </cols>
  <sheetData>
    <row r="1" spans="1:13" ht="29.4" thickBot="1" x14ac:dyDescent="0.35">
      <c r="A1" t="s">
        <v>23</v>
      </c>
      <c r="B1" t="s">
        <v>18</v>
      </c>
      <c r="C1" t="s">
        <v>19</v>
      </c>
      <c r="D1" t="s">
        <v>12</v>
      </c>
      <c r="E1" t="s">
        <v>20</v>
      </c>
      <c r="F1" s="15" t="s">
        <v>30</v>
      </c>
      <c r="G1" s="16" t="s">
        <v>31</v>
      </c>
      <c r="H1" s="16" t="s">
        <v>32</v>
      </c>
      <c r="I1" s="16" t="s">
        <v>33</v>
      </c>
      <c r="J1" s="16" t="s">
        <v>73</v>
      </c>
      <c r="K1" s="16" t="s">
        <v>34</v>
      </c>
      <c r="L1" s="16" t="s">
        <v>35</v>
      </c>
      <c r="M1" s="17" t="s">
        <v>36</v>
      </c>
    </row>
    <row r="2" spans="1:13" ht="15" thickBot="1" x14ac:dyDescent="0.35">
      <c r="A2">
        <v>1461</v>
      </c>
      <c r="B2">
        <v>21915</v>
      </c>
      <c r="C2">
        <v>15</v>
      </c>
      <c r="D2" t="s">
        <v>3</v>
      </c>
      <c r="E2" s="2">
        <v>9.0759753593429152E-2</v>
      </c>
      <c r="F2" s="6">
        <v>45357</v>
      </c>
      <c r="G2" s="7" t="s">
        <v>37</v>
      </c>
      <c r="H2" s="8">
        <v>1135</v>
      </c>
      <c r="I2" s="8">
        <v>88</v>
      </c>
      <c r="J2" s="8">
        <f>Table43[[#This Row],[New_Followers]]-Table43[[#This Row],[Unfollows]]</f>
        <v>1047</v>
      </c>
      <c r="K2" s="8">
        <v>344084</v>
      </c>
      <c r="L2" s="8">
        <v>8.06</v>
      </c>
      <c r="M2" s="9">
        <v>5904</v>
      </c>
    </row>
    <row r="3" spans="1:13" ht="15" thickBot="1" x14ac:dyDescent="0.35">
      <c r="A3">
        <v>4054</v>
      </c>
      <c r="B3">
        <v>64864</v>
      </c>
      <c r="C3">
        <v>117</v>
      </c>
      <c r="D3" t="s">
        <v>0</v>
      </c>
      <c r="E3" s="2">
        <v>7.6097681302417369E-2</v>
      </c>
      <c r="F3" s="6">
        <v>45357</v>
      </c>
      <c r="G3" s="7" t="s">
        <v>38</v>
      </c>
      <c r="H3" s="8">
        <v>1312</v>
      </c>
      <c r="I3" s="8">
        <v>310</v>
      </c>
      <c r="J3" s="8">
        <f>Table43[[#This Row],[New_Followers]]-Table43[[#This Row],[Unfollows]]</f>
        <v>1002</v>
      </c>
      <c r="K3" s="8">
        <v>42654</v>
      </c>
      <c r="L3" s="8">
        <v>4.9800000000000004</v>
      </c>
      <c r="M3" s="9">
        <v>9566</v>
      </c>
    </row>
    <row r="4" spans="1:13" ht="15" thickBot="1" x14ac:dyDescent="0.35">
      <c r="A4">
        <v>2795</v>
      </c>
      <c r="B4">
        <v>53105</v>
      </c>
      <c r="C4">
        <v>204</v>
      </c>
      <c r="D4" t="s">
        <v>3</v>
      </c>
      <c r="E4" s="2">
        <v>5.5531494209584788E-2</v>
      </c>
      <c r="F4" s="6">
        <v>45357</v>
      </c>
      <c r="G4" s="7" t="s">
        <v>39</v>
      </c>
      <c r="H4" s="8">
        <v>584</v>
      </c>
      <c r="I4" s="8">
        <v>169</v>
      </c>
      <c r="J4" s="8">
        <f>Table43[[#This Row],[New_Followers]]-Table43[[#This Row],[Unfollows]]</f>
        <v>415</v>
      </c>
      <c r="K4" s="8">
        <v>146834</v>
      </c>
      <c r="L4" s="8">
        <v>8.31</v>
      </c>
      <c r="M4" s="9">
        <v>26752</v>
      </c>
    </row>
    <row r="5" spans="1:13" ht="15" thickBot="1" x14ac:dyDescent="0.35">
      <c r="A5">
        <v>2404</v>
      </c>
      <c r="B5">
        <v>19232</v>
      </c>
      <c r="C5">
        <v>128</v>
      </c>
      <c r="D5" t="s">
        <v>3</v>
      </c>
      <c r="E5" s="2">
        <v>0.15105033277870217</v>
      </c>
      <c r="F5" s="6">
        <v>45357</v>
      </c>
      <c r="G5" s="7" t="s">
        <v>40</v>
      </c>
      <c r="H5" s="8">
        <v>1535</v>
      </c>
      <c r="I5" s="8">
        <v>445</v>
      </c>
      <c r="J5" s="8">
        <f>Table43[[#This Row],[New_Followers]]-Table43[[#This Row],[Unfollows]]</f>
        <v>1090</v>
      </c>
      <c r="K5" s="8">
        <v>395536</v>
      </c>
      <c r="L5" s="8">
        <v>4.1100000000000003</v>
      </c>
      <c r="M5" s="9">
        <v>30671</v>
      </c>
    </row>
    <row r="6" spans="1:13" ht="15" thickBot="1" x14ac:dyDescent="0.35">
      <c r="A6">
        <v>3557</v>
      </c>
      <c r="B6">
        <v>71140</v>
      </c>
      <c r="C6">
        <v>224</v>
      </c>
      <c r="D6" t="s">
        <v>6</v>
      </c>
      <c r="E6" s="2">
        <v>6.5617093055946027E-2</v>
      </c>
      <c r="F6" s="6">
        <v>45571</v>
      </c>
      <c r="G6" s="7" t="s">
        <v>37</v>
      </c>
      <c r="H6" s="8">
        <v>656</v>
      </c>
      <c r="I6" s="8">
        <v>139</v>
      </c>
      <c r="J6" s="8">
        <f>Table43[[#This Row],[New_Followers]]-Table43[[#This Row],[Unfollows]]</f>
        <v>517</v>
      </c>
      <c r="K6" s="8">
        <v>49157</v>
      </c>
      <c r="L6" s="8">
        <v>9.0500000000000007</v>
      </c>
      <c r="M6" s="9">
        <v>9920</v>
      </c>
    </row>
    <row r="7" spans="1:13" ht="15" thickBot="1" x14ac:dyDescent="0.35">
      <c r="A7">
        <v>2945</v>
      </c>
      <c r="B7">
        <v>23560</v>
      </c>
      <c r="C7">
        <v>256</v>
      </c>
      <c r="D7" t="s">
        <v>0</v>
      </c>
      <c r="E7" s="2">
        <v>0.17954159592529711</v>
      </c>
      <c r="F7" s="6">
        <v>45571</v>
      </c>
      <c r="G7" s="7" t="s">
        <v>38</v>
      </c>
      <c r="H7" s="8">
        <v>1697</v>
      </c>
      <c r="I7" s="8">
        <v>414</v>
      </c>
      <c r="J7" s="8">
        <f>Table43[[#This Row],[New_Followers]]-Table43[[#This Row],[Unfollows]]</f>
        <v>1283</v>
      </c>
      <c r="K7" s="8">
        <v>316555</v>
      </c>
      <c r="L7" s="8">
        <v>2.37</v>
      </c>
      <c r="M7" s="9">
        <v>7924</v>
      </c>
    </row>
    <row r="8" spans="1:13" ht="15" thickBot="1" x14ac:dyDescent="0.35">
      <c r="A8">
        <v>3860</v>
      </c>
      <c r="B8">
        <v>61760</v>
      </c>
      <c r="C8">
        <v>235</v>
      </c>
      <c r="D8" t="s">
        <v>6</v>
      </c>
      <c r="E8" s="2">
        <v>7.0272020725388601E-2</v>
      </c>
      <c r="F8" s="6">
        <v>45571</v>
      </c>
      <c r="G8" s="7" t="s">
        <v>39</v>
      </c>
      <c r="H8" s="8">
        <v>436</v>
      </c>
      <c r="I8" s="8">
        <v>250</v>
      </c>
      <c r="J8" s="8">
        <f>Table43[[#This Row],[New_Followers]]-Table43[[#This Row],[Unfollows]]</f>
        <v>186</v>
      </c>
      <c r="K8" s="8">
        <v>254347</v>
      </c>
      <c r="L8" s="8">
        <v>4.01</v>
      </c>
      <c r="M8" s="9">
        <v>8912</v>
      </c>
    </row>
    <row r="9" spans="1:13" ht="15" thickBot="1" x14ac:dyDescent="0.35">
      <c r="A9">
        <v>3929</v>
      </c>
      <c r="B9">
        <v>43219</v>
      </c>
      <c r="C9">
        <v>39</v>
      </c>
      <c r="D9" t="s">
        <v>6</v>
      </c>
      <c r="E9" s="2">
        <v>0.10340359564080613</v>
      </c>
      <c r="F9" s="6">
        <v>45571</v>
      </c>
      <c r="G9" s="7" t="s">
        <v>40</v>
      </c>
      <c r="H9" s="8">
        <v>1197</v>
      </c>
      <c r="I9" s="8">
        <v>203</v>
      </c>
      <c r="J9" s="8">
        <f>Table43[[#This Row],[New_Followers]]-Table43[[#This Row],[Unfollows]]</f>
        <v>994</v>
      </c>
      <c r="K9" s="8">
        <v>413878</v>
      </c>
      <c r="L9" s="8">
        <v>3.16</v>
      </c>
      <c r="M9" s="9">
        <v>21205</v>
      </c>
    </row>
    <row r="10" spans="1:13" ht="15" thickBot="1" x14ac:dyDescent="0.35">
      <c r="A10">
        <v>3784</v>
      </c>
      <c r="B10">
        <v>56760</v>
      </c>
      <c r="C10">
        <v>131</v>
      </c>
      <c r="D10" t="s">
        <v>6</v>
      </c>
      <c r="E10" s="2">
        <v>8.8019732205778717E-2</v>
      </c>
      <c r="F10" s="6" t="s">
        <v>41</v>
      </c>
      <c r="G10" s="7" t="s">
        <v>37</v>
      </c>
      <c r="H10" s="8">
        <v>1048</v>
      </c>
      <c r="I10" s="8">
        <v>155</v>
      </c>
      <c r="J10" s="8">
        <f>Table43[[#This Row],[New_Followers]]-Table43[[#This Row],[Unfollows]]</f>
        <v>893</v>
      </c>
      <c r="K10" s="8">
        <v>456946</v>
      </c>
      <c r="L10" s="8">
        <v>2.46</v>
      </c>
      <c r="M10" s="9">
        <v>11329</v>
      </c>
    </row>
    <row r="11" spans="1:13" ht="15" thickBot="1" x14ac:dyDescent="0.35">
      <c r="A11">
        <v>4241</v>
      </c>
      <c r="B11">
        <v>72097</v>
      </c>
      <c r="C11">
        <v>167</v>
      </c>
      <c r="D11" t="s">
        <v>9</v>
      </c>
      <c r="E11" s="2">
        <v>7.198635172059864E-2</v>
      </c>
      <c r="F11" s="6" t="s">
        <v>41</v>
      </c>
      <c r="G11" s="7" t="s">
        <v>38</v>
      </c>
      <c r="H11" s="8">
        <v>1753</v>
      </c>
      <c r="I11" s="8">
        <v>371</v>
      </c>
      <c r="J11" s="8">
        <f>Table43[[#This Row],[New_Followers]]-Table43[[#This Row],[Unfollows]]</f>
        <v>1382</v>
      </c>
      <c r="K11" s="8">
        <v>169496</v>
      </c>
      <c r="L11" s="8">
        <v>8.11</v>
      </c>
      <c r="M11" s="9">
        <v>46670</v>
      </c>
    </row>
    <row r="12" spans="1:13" ht="15" thickBot="1" x14ac:dyDescent="0.35">
      <c r="A12">
        <v>1792</v>
      </c>
      <c r="B12">
        <v>25088</v>
      </c>
      <c r="C12">
        <v>65</v>
      </c>
      <c r="D12" t="s">
        <v>3</v>
      </c>
      <c r="E12" s="2">
        <v>0.11571269132653061</v>
      </c>
      <c r="F12" s="6" t="s">
        <v>41</v>
      </c>
      <c r="G12" s="7" t="s">
        <v>39</v>
      </c>
      <c r="H12" s="8">
        <v>1335</v>
      </c>
      <c r="I12" s="8">
        <v>40</v>
      </c>
      <c r="J12" s="8">
        <f>Table43[[#This Row],[New_Followers]]-Table43[[#This Row],[Unfollows]]</f>
        <v>1295</v>
      </c>
      <c r="K12" s="8">
        <v>122732</v>
      </c>
      <c r="L12" s="8">
        <v>8.19</v>
      </c>
      <c r="M12" s="9">
        <v>22482</v>
      </c>
    </row>
    <row r="13" spans="1:13" ht="15" thickBot="1" x14ac:dyDescent="0.35">
      <c r="A13">
        <v>1946</v>
      </c>
      <c r="B13">
        <v>23352</v>
      </c>
      <c r="C13">
        <v>213</v>
      </c>
      <c r="D13" t="s">
        <v>6</v>
      </c>
      <c r="E13" s="2">
        <v>0.12885405960945528</v>
      </c>
      <c r="F13" s="6" t="s">
        <v>41</v>
      </c>
      <c r="G13" s="7" t="s">
        <v>40</v>
      </c>
      <c r="H13" s="8">
        <v>403</v>
      </c>
      <c r="I13" s="8">
        <v>66</v>
      </c>
      <c r="J13" s="8">
        <f>Table43[[#This Row],[New_Followers]]-Table43[[#This Row],[Unfollows]]</f>
        <v>337</v>
      </c>
      <c r="K13" s="8">
        <v>382851</v>
      </c>
      <c r="L13" s="8">
        <v>3.49</v>
      </c>
      <c r="M13" s="9">
        <v>24313</v>
      </c>
    </row>
    <row r="14" spans="1:13" ht="15" thickBot="1" x14ac:dyDescent="0.35">
      <c r="A14">
        <v>1171</v>
      </c>
      <c r="B14">
        <v>22249</v>
      </c>
      <c r="C14">
        <v>114</v>
      </c>
      <c r="D14" t="s">
        <v>9</v>
      </c>
      <c r="E14" s="2">
        <v>7.5868578363072495E-2</v>
      </c>
      <c r="F14" s="6" t="s">
        <v>42</v>
      </c>
      <c r="G14" s="7" t="s">
        <v>37</v>
      </c>
      <c r="H14" s="8">
        <v>911</v>
      </c>
      <c r="I14" s="8">
        <v>282</v>
      </c>
      <c r="J14" s="8">
        <f>Table43[[#This Row],[New_Followers]]-Table43[[#This Row],[Unfollows]]</f>
        <v>629</v>
      </c>
      <c r="K14" s="8">
        <v>35664</v>
      </c>
      <c r="L14" s="8">
        <v>6.92</v>
      </c>
      <c r="M14" s="9">
        <v>18050</v>
      </c>
    </row>
    <row r="15" spans="1:13" ht="15" thickBot="1" x14ac:dyDescent="0.35">
      <c r="A15">
        <v>4242</v>
      </c>
      <c r="B15">
        <v>33936</v>
      </c>
      <c r="C15">
        <v>265</v>
      </c>
      <c r="D15" t="s">
        <v>6</v>
      </c>
      <c r="E15" s="2">
        <v>0.14521452145214522</v>
      </c>
      <c r="F15" s="6" t="s">
        <v>42</v>
      </c>
      <c r="G15" s="7" t="s">
        <v>38</v>
      </c>
      <c r="H15" s="8">
        <v>1779</v>
      </c>
      <c r="I15" s="8">
        <v>109</v>
      </c>
      <c r="J15" s="8">
        <f>Table43[[#This Row],[New_Followers]]-Table43[[#This Row],[Unfollows]]</f>
        <v>1670</v>
      </c>
      <c r="K15" s="8">
        <v>26295</v>
      </c>
      <c r="L15" s="8">
        <v>9.1199999999999992</v>
      </c>
      <c r="M15" s="9">
        <v>30635</v>
      </c>
    </row>
    <row r="16" spans="1:13" ht="15" thickBot="1" x14ac:dyDescent="0.35">
      <c r="A16">
        <v>3888</v>
      </c>
      <c r="B16">
        <v>77760</v>
      </c>
      <c r="C16">
        <v>20</v>
      </c>
      <c r="D16" t="s">
        <v>3</v>
      </c>
      <c r="E16" s="2">
        <v>5.941358024691358E-2</v>
      </c>
      <c r="F16" s="6" t="s">
        <v>42</v>
      </c>
      <c r="G16" s="7" t="s">
        <v>39</v>
      </c>
      <c r="H16" s="8">
        <v>1238</v>
      </c>
      <c r="I16" s="8">
        <v>403</v>
      </c>
      <c r="J16" s="8">
        <f>Table43[[#This Row],[New_Followers]]-Table43[[#This Row],[Unfollows]]</f>
        <v>835</v>
      </c>
      <c r="K16" s="8">
        <v>298421</v>
      </c>
      <c r="L16" s="8">
        <v>3.5</v>
      </c>
      <c r="M16" s="9">
        <v>31280</v>
      </c>
    </row>
    <row r="17" spans="1:13" ht="15" thickBot="1" x14ac:dyDescent="0.35">
      <c r="A17">
        <v>3452</v>
      </c>
      <c r="B17">
        <v>55232</v>
      </c>
      <c r="C17">
        <v>87</v>
      </c>
      <c r="D17" t="s">
        <v>6</v>
      </c>
      <c r="E17" s="2">
        <v>7.5843713789107758E-2</v>
      </c>
      <c r="F17" s="6" t="s">
        <v>42</v>
      </c>
      <c r="G17" s="7" t="s">
        <v>40</v>
      </c>
      <c r="H17" s="8">
        <v>308</v>
      </c>
      <c r="I17" s="8">
        <v>431</v>
      </c>
      <c r="J17" s="8">
        <f>Table43[[#This Row],[New_Followers]]-Table43[[#This Row],[Unfollows]]</f>
        <v>-123</v>
      </c>
      <c r="K17" s="8">
        <v>426184</v>
      </c>
      <c r="L17" s="8">
        <v>2.62</v>
      </c>
      <c r="M17" s="9">
        <v>1783</v>
      </c>
    </row>
    <row r="18" spans="1:13" ht="15" thickBot="1" x14ac:dyDescent="0.35">
      <c r="A18">
        <v>4441</v>
      </c>
      <c r="B18">
        <v>53292</v>
      </c>
      <c r="C18">
        <v>159</v>
      </c>
      <c r="D18" t="s">
        <v>6</v>
      </c>
      <c r="E18" s="2">
        <v>9.4235532537716729E-2</v>
      </c>
      <c r="F18" s="6">
        <v>45298</v>
      </c>
      <c r="G18" s="7" t="s">
        <v>37</v>
      </c>
      <c r="H18" s="8">
        <v>226</v>
      </c>
      <c r="I18" s="8">
        <v>445</v>
      </c>
      <c r="J18" s="8">
        <f>Table43[[#This Row],[New_Followers]]-Table43[[#This Row],[Unfollows]]</f>
        <v>-219</v>
      </c>
      <c r="K18" s="8">
        <v>419447</v>
      </c>
      <c r="L18" s="8">
        <v>9.36</v>
      </c>
      <c r="M18" s="9">
        <v>9566</v>
      </c>
    </row>
    <row r="19" spans="1:13" ht="15" thickBot="1" x14ac:dyDescent="0.35">
      <c r="A19">
        <v>3000</v>
      </c>
      <c r="B19">
        <v>36000</v>
      </c>
      <c r="C19">
        <v>19</v>
      </c>
      <c r="D19" t="s">
        <v>0</v>
      </c>
      <c r="E19" s="2">
        <v>0.10297222222222223</v>
      </c>
      <c r="F19" s="6">
        <v>45298</v>
      </c>
      <c r="G19" s="7" t="s">
        <v>38</v>
      </c>
      <c r="H19" s="8">
        <v>505</v>
      </c>
      <c r="I19" s="8">
        <v>441</v>
      </c>
      <c r="J19" s="8">
        <f>Table43[[#This Row],[New_Followers]]-Table43[[#This Row],[Unfollows]]</f>
        <v>64</v>
      </c>
      <c r="K19" s="8">
        <v>220020</v>
      </c>
      <c r="L19" s="8">
        <v>4.4800000000000004</v>
      </c>
      <c r="M19" s="9">
        <v>42307</v>
      </c>
    </row>
    <row r="20" spans="1:13" ht="15" thickBot="1" x14ac:dyDescent="0.35">
      <c r="A20">
        <v>1071</v>
      </c>
      <c r="B20">
        <v>16065</v>
      </c>
      <c r="C20">
        <v>103</v>
      </c>
      <c r="D20" t="s">
        <v>6</v>
      </c>
      <c r="E20" s="2">
        <v>0.10034235916588857</v>
      </c>
      <c r="F20" s="6">
        <v>45298</v>
      </c>
      <c r="G20" s="7" t="s">
        <v>39</v>
      </c>
      <c r="H20" s="8">
        <v>1420</v>
      </c>
      <c r="I20" s="8">
        <v>63</v>
      </c>
      <c r="J20" s="8">
        <f>Table43[[#This Row],[New_Followers]]-Table43[[#This Row],[Unfollows]]</f>
        <v>1357</v>
      </c>
      <c r="K20" s="8">
        <v>315305</v>
      </c>
      <c r="L20" s="8">
        <v>6.19</v>
      </c>
      <c r="M20" s="9">
        <v>5914</v>
      </c>
    </row>
    <row r="21" spans="1:13" ht="15" thickBot="1" x14ac:dyDescent="0.35">
      <c r="A21">
        <v>4054</v>
      </c>
      <c r="B21">
        <v>77026</v>
      </c>
      <c r="C21">
        <v>25</v>
      </c>
      <c r="D21" t="s">
        <v>6</v>
      </c>
      <c r="E21" s="2">
        <v>6.3809622724794221E-2</v>
      </c>
      <c r="F21" s="6">
        <v>45298</v>
      </c>
      <c r="G21" s="7" t="s">
        <v>40</v>
      </c>
      <c r="H21" s="8">
        <v>144</v>
      </c>
      <c r="I21" s="8">
        <v>53</v>
      </c>
      <c r="J21" s="8">
        <f>Table43[[#This Row],[New_Followers]]-Table43[[#This Row],[Unfollows]]</f>
        <v>91</v>
      </c>
      <c r="K21" s="8">
        <v>113678</v>
      </c>
      <c r="L21" s="8">
        <v>8.7200000000000006</v>
      </c>
      <c r="M21" s="9">
        <v>30060</v>
      </c>
    </row>
    <row r="22" spans="1:13" ht="15" thickBot="1" x14ac:dyDescent="0.35">
      <c r="A22">
        <v>4838</v>
      </c>
      <c r="B22">
        <v>72570</v>
      </c>
      <c r="C22">
        <v>83</v>
      </c>
      <c r="D22" t="s">
        <v>6</v>
      </c>
      <c r="E22" s="2">
        <v>7.7249552156538517E-2</v>
      </c>
      <c r="F22" s="6">
        <v>45511</v>
      </c>
      <c r="G22" s="7" t="s">
        <v>37</v>
      </c>
      <c r="H22" s="8">
        <v>1757</v>
      </c>
      <c r="I22" s="8">
        <v>85</v>
      </c>
      <c r="J22" s="8">
        <f>Table43[[#This Row],[New_Followers]]-Table43[[#This Row],[Unfollows]]</f>
        <v>1672</v>
      </c>
      <c r="K22" s="8">
        <v>58223</v>
      </c>
      <c r="L22" s="8">
        <v>8.74</v>
      </c>
      <c r="M22" s="9">
        <v>22728</v>
      </c>
    </row>
    <row r="23" spans="1:13" ht="15" thickBot="1" x14ac:dyDescent="0.35">
      <c r="A23">
        <v>1570</v>
      </c>
      <c r="B23">
        <v>25120</v>
      </c>
      <c r="C23">
        <v>133</v>
      </c>
      <c r="D23" t="s">
        <v>9</v>
      </c>
      <c r="E23" s="2">
        <v>8.0294585987261149E-2</v>
      </c>
      <c r="F23" s="6">
        <v>45511</v>
      </c>
      <c r="G23" s="7" t="s">
        <v>38</v>
      </c>
      <c r="H23" s="8">
        <v>350</v>
      </c>
      <c r="I23" s="8">
        <v>41</v>
      </c>
      <c r="J23" s="8">
        <f>Table43[[#This Row],[New_Followers]]-Table43[[#This Row],[Unfollows]]</f>
        <v>309</v>
      </c>
      <c r="K23" s="8">
        <v>251694</v>
      </c>
      <c r="L23" s="8">
        <v>1.91</v>
      </c>
      <c r="M23" s="9">
        <v>38610</v>
      </c>
    </row>
    <row r="24" spans="1:13" ht="15" thickBot="1" x14ac:dyDescent="0.35">
      <c r="A24">
        <v>1606</v>
      </c>
      <c r="B24">
        <v>32120</v>
      </c>
      <c r="C24">
        <v>225</v>
      </c>
      <c r="D24" t="s">
        <v>6</v>
      </c>
      <c r="E24" s="2">
        <v>7.6867995018679955E-2</v>
      </c>
      <c r="F24" s="6">
        <v>45511</v>
      </c>
      <c r="G24" s="7" t="s">
        <v>39</v>
      </c>
      <c r="H24" s="8">
        <v>987</v>
      </c>
      <c r="I24" s="8">
        <v>440</v>
      </c>
      <c r="J24" s="8">
        <f>Table43[[#This Row],[New_Followers]]-Table43[[#This Row],[Unfollows]]</f>
        <v>547</v>
      </c>
      <c r="K24" s="8">
        <v>389810</v>
      </c>
      <c r="L24" s="8">
        <v>4.66</v>
      </c>
      <c r="M24" s="9">
        <v>2932</v>
      </c>
    </row>
    <row r="25" spans="1:13" ht="15" thickBot="1" x14ac:dyDescent="0.35">
      <c r="A25">
        <v>3961</v>
      </c>
      <c r="B25">
        <v>67337</v>
      </c>
      <c r="C25">
        <v>161</v>
      </c>
      <c r="D25" t="s">
        <v>0</v>
      </c>
      <c r="E25" s="2">
        <v>7.2070332803659209E-2</v>
      </c>
      <c r="F25" s="6">
        <v>45511</v>
      </c>
      <c r="G25" s="7" t="s">
        <v>40</v>
      </c>
      <c r="H25" s="8">
        <v>883</v>
      </c>
      <c r="I25" s="8">
        <v>369</v>
      </c>
      <c r="J25" s="8">
        <f>Table43[[#This Row],[New_Followers]]-Table43[[#This Row],[Unfollows]]</f>
        <v>514</v>
      </c>
      <c r="K25" s="8">
        <v>233694</v>
      </c>
      <c r="L25" s="8">
        <v>2.88</v>
      </c>
      <c r="M25" s="9">
        <v>15071</v>
      </c>
    </row>
    <row r="26" spans="1:13" ht="15" thickBot="1" x14ac:dyDescent="0.35">
      <c r="A26">
        <v>3128</v>
      </c>
      <c r="B26">
        <v>59432</v>
      </c>
      <c r="C26">
        <v>238</v>
      </c>
      <c r="D26" t="s">
        <v>3</v>
      </c>
      <c r="E26" s="2">
        <v>5.9496567505720827E-2</v>
      </c>
      <c r="F26" s="10" t="s">
        <v>43</v>
      </c>
      <c r="G26" s="7" t="s">
        <v>37</v>
      </c>
      <c r="H26" s="8">
        <v>1960</v>
      </c>
      <c r="I26" s="8">
        <v>115</v>
      </c>
      <c r="J26" s="8">
        <f>Table43[[#This Row],[New_Followers]]-Table43[[#This Row],[Unfollows]]</f>
        <v>1845</v>
      </c>
      <c r="K26" s="8">
        <v>154169</v>
      </c>
      <c r="L26" s="8">
        <v>3.74</v>
      </c>
      <c r="M26" s="9">
        <v>10740</v>
      </c>
    </row>
    <row r="27" spans="1:13" ht="15" thickBot="1" x14ac:dyDescent="0.35">
      <c r="A27">
        <v>3009</v>
      </c>
      <c r="B27">
        <v>42126</v>
      </c>
      <c r="C27">
        <v>211</v>
      </c>
      <c r="D27" t="s">
        <v>0</v>
      </c>
      <c r="E27" s="2">
        <v>8.9730807577268201E-2</v>
      </c>
      <c r="F27" s="10" t="s">
        <v>43</v>
      </c>
      <c r="G27" s="7" t="s">
        <v>38</v>
      </c>
      <c r="H27" s="8">
        <v>170</v>
      </c>
      <c r="I27" s="8">
        <v>334</v>
      </c>
      <c r="J27" s="8">
        <f>Table43[[#This Row],[New_Followers]]-Table43[[#This Row],[Unfollows]]</f>
        <v>-164</v>
      </c>
      <c r="K27" s="8">
        <v>334626</v>
      </c>
      <c r="L27" s="8">
        <v>6.44</v>
      </c>
      <c r="M27" s="9">
        <v>43420</v>
      </c>
    </row>
    <row r="28" spans="1:13" ht="15" thickBot="1" x14ac:dyDescent="0.35">
      <c r="A28">
        <v>2076</v>
      </c>
      <c r="B28">
        <v>33216</v>
      </c>
      <c r="C28">
        <v>51</v>
      </c>
      <c r="D28" t="s">
        <v>9</v>
      </c>
      <c r="E28" s="2">
        <v>7.1501685934489398E-2</v>
      </c>
      <c r="F28" s="10" t="s">
        <v>43</v>
      </c>
      <c r="G28" s="7" t="s">
        <v>39</v>
      </c>
      <c r="H28" s="8">
        <v>704</v>
      </c>
      <c r="I28" s="8">
        <v>275</v>
      </c>
      <c r="J28" s="8">
        <f>Table43[[#This Row],[New_Followers]]-Table43[[#This Row],[Unfollows]]</f>
        <v>429</v>
      </c>
      <c r="K28" s="8">
        <v>226002</v>
      </c>
      <c r="L28" s="8">
        <v>8.56</v>
      </c>
      <c r="M28" s="9">
        <v>32393</v>
      </c>
    </row>
    <row r="29" spans="1:13" ht="15" thickBot="1" x14ac:dyDescent="0.35">
      <c r="A29">
        <v>432</v>
      </c>
      <c r="B29">
        <v>6912</v>
      </c>
      <c r="C29">
        <v>79</v>
      </c>
      <c r="D29" t="s">
        <v>0</v>
      </c>
      <c r="E29" s="2">
        <v>0.17057291666666666</v>
      </c>
      <c r="F29" s="10" t="s">
        <v>43</v>
      </c>
      <c r="G29" s="7" t="s">
        <v>40</v>
      </c>
      <c r="H29" s="8">
        <v>224</v>
      </c>
      <c r="I29" s="8">
        <v>64</v>
      </c>
      <c r="J29" s="8">
        <f>Table43[[#This Row],[New_Followers]]-Table43[[#This Row],[Unfollows]]</f>
        <v>160</v>
      </c>
      <c r="K29" s="8">
        <v>156683</v>
      </c>
      <c r="L29" s="8">
        <v>4.5599999999999996</v>
      </c>
      <c r="M29" s="9">
        <v>28474</v>
      </c>
    </row>
    <row r="30" spans="1:13" ht="15" thickBot="1" x14ac:dyDescent="0.35">
      <c r="A30">
        <v>2566</v>
      </c>
      <c r="B30">
        <v>12830</v>
      </c>
      <c r="C30">
        <v>221</v>
      </c>
      <c r="D30" t="s">
        <v>6</v>
      </c>
      <c r="E30" s="2">
        <v>0.21208106001558846</v>
      </c>
      <c r="F30" s="10" t="s">
        <v>44</v>
      </c>
      <c r="G30" s="7" t="s">
        <v>37</v>
      </c>
      <c r="H30" s="8">
        <v>508</v>
      </c>
      <c r="I30" s="8">
        <v>349</v>
      </c>
      <c r="J30" s="8">
        <f>Table43[[#This Row],[New_Followers]]-Table43[[#This Row],[Unfollows]]</f>
        <v>159</v>
      </c>
      <c r="K30" s="8">
        <v>473812</v>
      </c>
      <c r="L30" s="8">
        <v>7.88</v>
      </c>
      <c r="M30" s="9">
        <v>17328</v>
      </c>
    </row>
    <row r="31" spans="1:13" ht="15" thickBot="1" x14ac:dyDescent="0.35">
      <c r="A31">
        <v>3095</v>
      </c>
      <c r="B31">
        <v>55710</v>
      </c>
      <c r="C31">
        <v>93</v>
      </c>
      <c r="D31" t="s">
        <v>9</v>
      </c>
      <c r="E31" s="2">
        <v>5.7655717106444085E-2</v>
      </c>
      <c r="F31" s="10" t="s">
        <v>44</v>
      </c>
      <c r="G31" s="7" t="s">
        <v>38</v>
      </c>
      <c r="H31" s="8">
        <v>1391</v>
      </c>
      <c r="I31" s="8">
        <v>430</v>
      </c>
      <c r="J31" s="8">
        <f>Table43[[#This Row],[New_Followers]]-Table43[[#This Row],[Unfollows]]</f>
        <v>961</v>
      </c>
      <c r="K31" s="8">
        <v>295032</v>
      </c>
      <c r="L31" s="8">
        <v>7.86</v>
      </c>
      <c r="M31" s="9">
        <v>26067</v>
      </c>
    </row>
    <row r="32" spans="1:13" ht="15" thickBot="1" x14ac:dyDescent="0.35">
      <c r="A32">
        <v>438</v>
      </c>
      <c r="B32">
        <v>3066</v>
      </c>
      <c r="C32">
        <v>282</v>
      </c>
      <c r="D32" t="s">
        <v>9</v>
      </c>
      <c r="E32" s="2">
        <v>0.28245270711024134</v>
      </c>
      <c r="F32" s="10" t="s">
        <v>44</v>
      </c>
      <c r="G32" s="7" t="s">
        <v>39</v>
      </c>
      <c r="H32" s="8">
        <v>1701</v>
      </c>
      <c r="I32" s="8">
        <v>385</v>
      </c>
      <c r="J32" s="8">
        <f>Table43[[#This Row],[New_Followers]]-Table43[[#This Row],[Unfollows]]</f>
        <v>1316</v>
      </c>
      <c r="K32" s="8">
        <v>198278</v>
      </c>
      <c r="L32" s="8">
        <v>5.34</v>
      </c>
      <c r="M32" s="9">
        <v>32763</v>
      </c>
    </row>
    <row r="33" spans="1:13" ht="15" thickBot="1" x14ac:dyDescent="0.35">
      <c r="A33">
        <v>2278</v>
      </c>
      <c r="B33">
        <v>13668</v>
      </c>
      <c r="C33">
        <v>275</v>
      </c>
      <c r="D33" t="s">
        <v>9</v>
      </c>
      <c r="E33" s="2">
        <v>0.19088381621305239</v>
      </c>
      <c r="F33" s="10" t="s">
        <v>44</v>
      </c>
      <c r="G33" s="7" t="s">
        <v>40</v>
      </c>
      <c r="H33" s="8">
        <v>804</v>
      </c>
      <c r="I33" s="8">
        <v>487</v>
      </c>
      <c r="J33" s="8">
        <f>Table43[[#This Row],[New_Followers]]-Table43[[#This Row],[Unfollows]]</f>
        <v>317</v>
      </c>
      <c r="K33" s="8">
        <v>306564</v>
      </c>
      <c r="L33" s="8">
        <v>5.52</v>
      </c>
      <c r="M33" s="9">
        <v>26452</v>
      </c>
    </row>
    <row r="34" spans="1:13" ht="15" thickBot="1" x14ac:dyDescent="0.35">
      <c r="A34">
        <v>1407</v>
      </c>
      <c r="B34">
        <v>16884</v>
      </c>
      <c r="C34">
        <v>113</v>
      </c>
      <c r="D34" t="s">
        <v>6</v>
      </c>
      <c r="E34" s="2">
        <v>0.12781331438047855</v>
      </c>
      <c r="F34" s="10" t="s">
        <v>45</v>
      </c>
      <c r="G34" s="7" t="s">
        <v>37</v>
      </c>
      <c r="H34" s="8">
        <v>653</v>
      </c>
      <c r="I34" s="8">
        <v>112</v>
      </c>
      <c r="J34" s="8">
        <f>Table43[[#This Row],[New_Followers]]-Table43[[#This Row],[Unfollows]]</f>
        <v>541</v>
      </c>
      <c r="K34" s="8">
        <v>23664</v>
      </c>
      <c r="L34" s="8">
        <v>4.05</v>
      </c>
      <c r="M34" s="9">
        <v>15353</v>
      </c>
    </row>
    <row r="35" spans="1:13" ht="15" thickBot="1" x14ac:dyDescent="0.35">
      <c r="A35">
        <v>1652</v>
      </c>
      <c r="B35">
        <v>29736</v>
      </c>
      <c r="C35">
        <v>215</v>
      </c>
      <c r="D35" t="s">
        <v>0</v>
      </c>
      <c r="E35" s="2">
        <v>7.055421038471886E-2</v>
      </c>
      <c r="F35" s="10" t="s">
        <v>45</v>
      </c>
      <c r="G35" s="7" t="s">
        <v>38</v>
      </c>
      <c r="H35" s="8">
        <v>160</v>
      </c>
      <c r="I35" s="8">
        <v>478</v>
      </c>
      <c r="J35" s="8">
        <f>Table43[[#This Row],[New_Followers]]-Table43[[#This Row],[Unfollows]]</f>
        <v>-318</v>
      </c>
      <c r="K35" s="8">
        <v>435034</v>
      </c>
      <c r="L35" s="8">
        <v>7.73</v>
      </c>
      <c r="M35" s="9">
        <v>4839</v>
      </c>
    </row>
    <row r="36" spans="1:13" ht="15" thickBot="1" x14ac:dyDescent="0.35">
      <c r="A36">
        <v>3775</v>
      </c>
      <c r="B36">
        <v>33975</v>
      </c>
      <c r="C36">
        <v>271</v>
      </c>
      <c r="D36" t="s">
        <v>6</v>
      </c>
      <c r="E36" s="2">
        <v>0.11861662987490802</v>
      </c>
      <c r="F36" s="10" t="s">
        <v>45</v>
      </c>
      <c r="G36" s="7" t="s">
        <v>39</v>
      </c>
      <c r="H36" s="8">
        <v>1756</v>
      </c>
      <c r="I36" s="8">
        <v>261</v>
      </c>
      <c r="J36" s="8">
        <f>Table43[[#This Row],[New_Followers]]-Table43[[#This Row],[Unfollows]]</f>
        <v>1495</v>
      </c>
      <c r="K36" s="8">
        <v>287574</v>
      </c>
      <c r="L36" s="8">
        <v>4.3600000000000003</v>
      </c>
      <c r="M36" s="9">
        <v>39272</v>
      </c>
    </row>
    <row r="37" spans="1:13" ht="15" thickBot="1" x14ac:dyDescent="0.35">
      <c r="A37">
        <v>4518</v>
      </c>
      <c r="B37">
        <v>67770</v>
      </c>
      <c r="C37">
        <v>31</v>
      </c>
      <c r="D37" t="s">
        <v>0</v>
      </c>
      <c r="E37" s="2">
        <v>7.6523535487678915E-2</v>
      </c>
      <c r="F37" s="10" t="s">
        <v>45</v>
      </c>
      <c r="G37" s="7" t="s">
        <v>40</v>
      </c>
      <c r="H37" s="8">
        <v>576</v>
      </c>
      <c r="I37" s="8">
        <v>101</v>
      </c>
      <c r="J37" s="8">
        <f>Table43[[#This Row],[New_Followers]]-Table43[[#This Row],[Unfollows]]</f>
        <v>475</v>
      </c>
      <c r="K37" s="8">
        <v>62499</v>
      </c>
      <c r="L37" s="8">
        <v>3.48</v>
      </c>
      <c r="M37" s="9">
        <v>16804</v>
      </c>
    </row>
    <row r="38" spans="1:13" ht="15" thickBot="1" x14ac:dyDescent="0.35">
      <c r="A38">
        <v>3024</v>
      </c>
      <c r="B38">
        <v>24192</v>
      </c>
      <c r="C38">
        <v>36</v>
      </c>
      <c r="D38" t="s">
        <v>6</v>
      </c>
      <c r="E38" s="2">
        <v>0.17770337301587302</v>
      </c>
      <c r="F38" s="6">
        <v>45420</v>
      </c>
      <c r="G38" s="7" t="s">
        <v>37</v>
      </c>
      <c r="H38" s="8">
        <v>645</v>
      </c>
      <c r="I38" s="8">
        <v>293</v>
      </c>
      <c r="J38" s="8">
        <f>Table43[[#This Row],[New_Followers]]-Table43[[#This Row],[Unfollows]]</f>
        <v>352</v>
      </c>
      <c r="K38" s="8">
        <v>437968</v>
      </c>
      <c r="L38" s="8">
        <v>7.83</v>
      </c>
      <c r="M38" s="9">
        <v>49303</v>
      </c>
    </row>
    <row r="39" spans="1:13" ht="15" thickBot="1" x14ac:dyDescent="0.35">
      <c r="A39">
        <v>3138</v>
      </c>
      <c r="B39">
        <v>28242</v>
      </c>
      <c r="C39">
        <v>87</v>
      </c>
      <c r="D39" t="s">
        <v>9</v>
      </c>
      <c r="E39" s="2">
        <v>0.12577012959422137</v>
      </c>
      <c r="F39" s="6">
        <v>45420</v>
      </c>
      <c r="G39" s="7" t="s">
        <v>38</v>
      </c>
      <c r="H39" s="8">
        <v>214</v>
      </c>
      <c r="I39" s="8">
        <v>411</v>
      </c>
      <c r="J39" s="8">
        <f>Table43[[#This Row],[New_Followers]]-Table43[[#This Row],[Unfollows]]</f>
        <v>-197</v>
      </c>
      <c r="K39" s="8">
        <v>125034</v>
      </c>
      <c r="L39" s="8">
        <v>6.11</v>
      </c>
      <c r="M39" s="9">
        <v>26455</v>
      </c>
    </row>
    <row r="40" spans="1:13" ht="15" thickBot="1" x14ac:dyDescent="0.35">
      <c r="A40">
        <v>3564</v>
      </c>
      <c r="B40">
        <v>60588</v>
      </c>
      <c r="C40">
        <v>92</v>
      </c>
      <c r="D40" t="s">
        <v>6</v>
      </c>
      <c r="E40" s="2">
        <v>7.2126493695121141E-2</v>
      </c>
      <c r="F40" s="6">
        <v>45420</v>
      </c>
      <c r="G40" s="7" t="s">
        <v>39</v>
      </c>
      <c r="H40" s="8">
        <v>826</v>
      </c>
      <c r="I40" s="8">
        <v>498</v>
      </c>
      <c r="J40" s="8">
        <f>Table43[[#This Row],[New_Followers]]-Table43[[#This Row],[Unfollows]]</f>
        <v>328</v>
      </c>
      <c r="K40" s="8">
        <v>449994</v>
      </c>
      <c r="L40" s="8">
        <v>9.43</v>
      </c>
      <c r="M40" s="9">
        <v>12384</v>
      </c>
    </row>
    <row r="41" spans="1:13" ht="15" thickBot="1" x14ac:dyDescent="0.35">
      <c r="A41">
        <v>4750</v>
      </c>
      <c r="B41">
        <v>38000</v>
      </c>
      <c r="C41">
        <v>299</v>
      </c>
      <c r="D41" t="s">
        <v>0</v>
      </c>
      <c r="E41" s="2">
        <v>0.13989473684210527</v>
      </c>
      <c r="F41" s="6">
        <v>45420</v>
      </c>
      <c r="G41" s="7" t="s">
        <v>40</v>
      </c>
      <c r="H41" s="8">
        <v>460</v>
      </c>
      <c r="I41" s="8">
        <v>141</v>
      </c>
      <c r="J41" s="8">
        <f>Table43[[#This Row],[New_Followers]]-Table43[[#This Row],[Unfollows]]</f>
        <v>319</v>
      </c>
      <c r="K41" s="8">
        <v>320650</v>
      </c>
      <c r="L41" s="8">
        <v>4.04</v>
      </c>
      <c r="M41" s="9">
        <v>49372</v>
      </c>
    </row>
    <row r="42" spans="1:13" ht="15" thickBot="1" x14ac:dyDescent="0.35">
      <c r="A42">
        <v>456</v>
      </c>
      <c r="B42">
        <v>8208</v>
      </c>
      <c r="C42">
        <v>205</v>
      </c>
      <c r="D42" t="s">
        <v>6</v>
      </c>
      <c r="E42" s="2">
        <v>0.18433235867446393</v>
      </c>
      <c r="F42" s="6">
        <v>45634</v>
      </c>
      <c r="G42" s="7" t="s">
        <v>37</v>
      </c>
      <c r="H42" s="8">
        <v>1528</v>
      </c>
      <c r="I42" s="8">
        <v>203</v>
      </c>
      <c r="J42" s="8">
        <f>Table43[[#This Row],[New_Followers]]-Table43[[#This Row],[Unfollows]]</f>
        <v>1325</v>
      </c>
      <c r="K42" s="8">
        <v>489188</v>
      </c>
      <c r="L42" s="8">
        <v>6.23</v>
      </c>
      <c r="M42" s="9">
        <v>47101</v>
      </c>
    </row>
    <row r="43" spans="1:13" ht="15" thickBot="1" x14ac:dyDescent="0.35">
      <c r="A43">
        <v>1543</v>
      </c>
      <c r="B43">
        <v>12344</v>
      </c>
      <c r="C43">
        <v>241</v>
      </c>
      <c r="D43" t="s">
        <v>6</v>
      </c>
      <c r="E43" s="2">
        <v>0.21840570317563188</v>
      </c>
      <c r="F43" s="6">
        <v>45634</v>
      </c>
      <c r="G43" s="7" t="s">
        <v>38</v>
      </c>
      <c r="H43" s="8">
        <v>1534</v>
      </c>
      <c r="I43" s="8">
        <v>200</v>
      </c>
      <c r="J43" s="8">
        <f>Table43[[#This Row],[New_Followers]]-Table43[[#This Row],[Unfollows]]</f>
        <v>1334</v>
      </c>
      <c r="K43" s="8">
        <v>307612</v>
      </c>
      <c r="L43" s="8">
        <v>6.01</v>
      </c>
      <c r="M43" s="9">
        <v>37903</v>
      </c>
    </row>
    <row r="44" spans="1:13" ht="15" thickBot="1" x14ac:dyDescent="0.35">
      <c r="A44">
        <v>2174</v>
      </c>
      <c r="B44">
        <v>13044</v>
      </c>
      <c r="C44">
        <v>137</v>
      </c>
      <c r="D44" t="s">
        <v>9</v>
      </c>
      <c r="E44" s="2">
        <v>0.21826126954921804</v>
      </c>
      <c r="F44" s="6">
        <v>45634</v>
      </c>
      <c r="G44" s="7" t="s">
        <v>39</v>
      </c>
      <c r="H44" s="8">
        <v>485</v>
      </c>
      <c r="I44" s="8">
        <v>448</v>
      </c>
      <c r="J44" s="8">
        <f>Table43[[#This Row],[New_Followers]]-Table43[[#This Row],[Unfollows]]</f>
        <v>37</v>
      </c>
      <c r="K44" s="8">
        <v>434883</v>
      </c>
      <c r="L44" s="8">
        <v>8.5500000000000007</v>
      </c>
      <c r="M44" s="9">
        <v>33258</v>
      </c>
    </row>
    <row r="45" spans="1:13" ht="15" thickBot="1" x14ac:dyDescent="0.35">
      <c r="A45">
        <v>2358</v>
      </c>
      <c r="B45">
        <v>35370</v>
      </c>
      <c r="C45">
        <v>216</v>
      </c>
      <c r="D45" t="s">
        <v>3</v>
      </c>
      <c r="E45" s="2">
        <v>9.8558100084817649E-2</v>
      </c>
      <c r="F45" s="6">
        <v>45634</v>
      </c>
      <c r="G45" s="7" t="s">
        <v>40</v>
      </c>
      <c r="H45" s="8">
        <v>1210</v>
      </c>
      <c r="I45" s="8">
        <v>178</v>
      </c>
      <c r="J45" s="8">
        <f>Table43[[#This Row],[New_Followers]]-Table43[[#This Row],[Unfollows]]</f>
        <v>1032</v>
      </c>
      <c r="K45" s="8">
        <v>102042</v>
      </c>
      <c r="L45" s="8">
        <v>5.42</v>
      </c>
      <c r="M45" s="9">
        <v>6915</v>
      </c>
    </row>
    <row r="46" spans="1:13" ht="15" thickBot="1" x14ac:dyDescent="0.35">
      <c r="A46">
        <v>3371</v>
      </c>
      <c r="B46">
        <v>50565</v>
      </c>
      <c r="C46">
        <v>176</v>
      </c>
      <c r="D46" t="s">
        <v>9</v>
      </c>
      <c r="E46" s="2">
        <v>7.5229902106199939E-2</v>
      </c>
      <c r="F46" s="10" t="s">
        <v>46</v>
      </c>
      <c r="G46" s="7" t="s">
        <v>37</v>
      </c>
      <c r="H46" s="8">
        <v>215</v>
      </c>
      <c r="I46" s="8">
        <v>139</v>
      </c>
      <c r="J46" s="8">
        <f>Table43[[#This Row],[New_Followers]]-Table43[[#This Row],[Unfollows]]</f>
        <v>76</v>
      </c>
      <c r="K46" s="8">
        <v>325444</v>
      </c>
      <c r="L46" s="8">
        <v>3.25</v>
      </c>
      <c r="M46" s="9">
        <v>35501</v>
      </c>
    </row>
    <row r="47" spans="1:13" ht="15" thickBot="1" x14ac:dyDescent="0.35">
      <c r="A47">
        <v>1108</v>
      </c>
      <c r="B47">
        <v>8864</v>
      </c>
      <c r="C47">
        <v>97</v>
      </c>
      <c r="D47" t="s">
        <v>9</v>
      </c>
      <c r="E47" s="2">
        <v>0.16888537906137185</v>
      </c>
      <c r="F47" s="10" t="s">
        <v>46</v>
      </c>
      <c r="G47" s="7" t="s">
        <v>38</v>
      </c>
      <c r="H47" s="8">
        <v>1078</v>
      </c>
      <c r="I47" s="8">
        <v>20</v>
      </c>
      <c r="J47" s="8">
        <f>Table43[[#This Row],[New_Followers]]-Table43[[#This Row],[Unfollows]]</f>
        <v>1058</v>
      </c>
      <c r="K47" s="8">
        <v>183924</v>
      </c>
      <c r="L47" s="8">
        <v>8.84</v>
      </c>
      <c r="M47" s="9">
        <v>14203</v>
      </c>
    </row>
    <row r="48" spans="1:13" ht="15" thickBot="1" x14ac:dyDescent="0.35">
      <c r="A48">
        <v>2704</v>
      </c>
      <c r="B48">
        <v>21632</v>
      </c>
      <c r="C48">
        <v>127</v>
      </c>
      <c r="D48" t="s">
        <v>3</v>
      </c>
      <c r="E48" s="2">
        <v>0.16683616863905326</v>
      </c>
      <c r="F48" s="10" t="s">
        <v>46</v>
      </c>
      <c r="G48" s="7" t="s">
        <v>39</v>
      </c>
      <c r="H48" s="8">
        <v>1751</v>
      </c>
      <c r="I48" s="8">
        <v>86</v>
      </c>
      <c r="J48" s="8">
        <f>Table43[[#This Row],[New_Followers]]-Table43[[#This Row],[Unfollows]]</f>
        <v>1665</v>
      </c>
      <c r="K48" s="8">
        <v>188655</v>
      </c>
      <c r="L48" s="8">
        <v>7.24</v>
      </c>
      <c r="M48" s="9">
        <v>22206</v>
      </c>
    </row>
    <row r="49" spans="1:13" ht="15" thickBot="1" x14ac:dyDescent="0.35">
      <c r="A49">
        <v>1950</v>
      </c>
      <c r="B49">
        <v>37050</v>
      </c>
      <c r="C49">
        <v>119</v>
      </c>
      <c r="D49" t="s">
        <v>9</v>
      </c>
      <c r="E49" s="2">
        <v>7.349527665317139E-2</v>
      </c>
      <c r="F49" s="10" t="s">
        <v>46</v>
      </c>
      <c r="G49" s="7" t="s">
        <v>40</v>
      </c>
      <c r="H49" s="8">
        <v>221</v>
      </c>
      <c r="I49" s="8">
        <v>31</v>
      </c>
      <c r="J49" s="8">
        <f>Table43[[#This Row],[New_Followers]]-Table43[[#This Row],[Unfollows]]</f>
        <v>190</v>
      </c>
      <c r="K49" s="8">
        <v>87443</v>
      </c>
      <c r="L49" s="8">
        <v>6.19</v>
      </c>
      <c r="M49" s="9">
        <v>10283</v>
      </c>
    </row>
    <row r="50" spans="1:13" ht="15" thickBot="1" x14ac:dyDescent="0.35">
      <c r="A50">
        <v>2164</v>
      </c>
      <c r="B50">
        <v>28132</v>
      </c>
      <c r="C50">
        <v>177</v>
      </c>
      <c r="D50" t="s">
        <v>3</v>
      </c>
      <c r="E50" s="2">
        <v>0.10617801791554102</v>
      </c>
      <c r="F50" s="10" t="s">
        <v>47</v>
      </c>
      <c r="G50" s="7" t="s">
        <v>37</v>
      </c>
      <c r="H50" s="8">
        <v>1685</v>
      </c>
      <c r="I50" s="8">
        <v>76</v>
      </c>
      <c r="J50" s="8">
        <f>Table43[[#This Row],[New_Followers]]-Table43[[#This Row],[Unfollows]]</f>
        <v>1609</v>
      </c>
      <c r="K50" s="8">
        <v>453799</v>
      </c>
      <c r="L50" s="8">
        <v>5.71</v>
      </c>
      <c r="M50" s="9">
        <v>24913</v>
      </c>
    </row>
    <row r="51" spans="1:13" ht="15" thickBot="1" x14ac:dyDescent="0.35">
      <c r="A51">
        <v>2754</v>
      </c>
      <c r="B51">
        <v>22032</v>
      </c>
      <c r="C51">
        <v>112</v>
      </c>
      <c r="D51" t="s">
        <v>3</v>
      </c>
      <c r="E51" s="2">
        <v>0.13498547567175018</v>
      </c>
      <c r="F51" s="10" t="s">
        <v>47</v>
      </c>
      <c r="G51" s="7" t="s">
        <v>38</v>
      </c>
      <c r="H51" s="8">
        <v>248</v>
      </c>
      <c r="I51" s="8">
        <v>211</v>
      </c>
      <c r="J51" s="8">
        <f>Table43[[#This Row],[New_Followers]]-Table43[[#This Row],[Unfollows]]</f>
        <v>37</v>
      </c>
      <c r="K51" s="8">
        <v>379380</v>
      </c>
      <c r="L51" s="8">
        <v>9.0399999999999991</v>
      </c>
      <c r="M51" s="9">
        <v>26925</v>
      </c>
    </row>
    <row r="52" spans="1:13" ht="15" thickBot="1" x14ac:dyDescent="0.35">
      <c r="A52">
        <v>2200</v>
      </c>
      <c r="B52">
        <v>37400</v>
      </c>
      <c r="C52">
        <v>225</v>
      </c>
      <c r="D52" t="s">
        <v>6</v>
      </c>
      <c r="E52" s="2">
        <v>7.8689839572192513E-2</v>
      </c>
      <c r="F52" s="10" t="s">
        <v>47</v>
      </c>
      <c r="G52" s="7" t="s">
        <v>39</v>
      </c>
      <c r="H52" s="8">
        <v>1300</v>
      </c>
      <c r="I52" s="8">
        <v>71</v>
      </c>
      <c r="J52" s="8">
        <f>Table43[[#This Row],[New_Followers]]-Table43[[#This Row],[Unfollows]]</f>
        <v>1229</v>
      </c>
      <c r="K52" s="8">
        <v>186454</v>
      </c>
      <c r="L52" s="8">
        <v>3.91</v>
      </c>
      <c r="M52" s="9">
        <v>9942</v>
      </c>
    </row>
    <row r="53" spans="1:13" ht="15" thickBot="1" x14ac:dyDescent="0.35">
      <c r="A53">
        <v>947</v>
      </c>
      <c r="B53">
        <v>10417</v>
      </c>
      <c r="C53">
        <v>34</v>
      </c>
      <c r="D53" t="s">
        <v>6</v>
      </c>
      <c r="E53" s="2">
        <v>0.1569549774407219</v>
      </c>
      <c r="F53" s="10" t="s">
        <v>47</v>
      </c>
      <c r="G53" s="7" t="s">
        <v>40</v>
      </c>
      <c r="H53" s="8">
        <v>422</v>
      </c>
      <c r="I53" s="8">
        <v>394</v>
      </c>
      <c r="J53" s="8">
        <f>Table43[[#This Row],[New_Followers]]-Table43[[#This Row],[Unfollows]]</f>
        <v>28</v>
      </c>
      <c r="K53" s="8">
        <v>239044</v>
      </c>
      <c r="L53" s="8">
        <v>7.83</v>
      </c>
      <c r="M53" s="9">
        <v>32929</v>
      </c>
    </row>
    <row r="54" spans="1:13" ht="15" thickBot="1" x14ac:dyDescent="0.35">
      <c r="A54">
        <v>804</v>
      </c>
      <c r="B54">
        <v>4020</v>
      </c>
      <c r="C54">
        <v>11</v>
      </c>
      <c r="D54" t="s">
        <v>9</v>
      </c>
      <c r="E54" s="2">
        <v>0.36965174129353234</v>
      </c>
      <c r="F54" s="6">
        <v>45331</v>
      </c>
      <c r="G54" s="7" t="s">
        <v>37</v>
      </c>
      <c r="H54" s="8">
        <v>1429</v>
      </c>
      <c r="I54" s="8">
        <v>182</v>
      </c>
      <c r="J54" s="8">
        <f>Table43[[#This Row],[New_Followers]]-Table43[[#This Row],[Unfollows]]</f>
        <v>1247</v>
      </c>
      <c r="K54" s="8">
        <v>101332</v>
      </c>
      <c r="L54" s="8">
        <v>7.16</v>
      </c>
      <c r="M54" s="9">
        <v>37829</v>
      </c>
    </row>
    <row r="55" spans="1:13" ht="15" thickBot="1" x14ac:dyDescent="0.35">
      <c r="A55">
        <v>1686</v>
      </c>
      <c r="B55">
        <v>18546</v>
      </c>
      <c r="C55">
        <v>52</v>
      </c>
      <c r="D55" t="s">
        <v>0</v>
      </c>
      <c r="E55" s="2">
        <v>0.16510298716704411</v>
      </c>
      <c r="F55" s="6">
        <v>45331</v>
      </c>
      <c r="G55" s="7" t="s">
        <v>38</v>
      </c>
      <c r="H55" s="8">
        <v>1520</v>
      </c>
      <c r="I55" s="8">
        <v>475</v>
      </c>
      <c r="J55" s="8">
        <f>Table43[[#This Row],[New_Followers]]-Table43[[#This Row],[Unfollows]]</f>
        <v>1045</v>
      </c>
      <c r="K55" s="8">
        <v>496982</v>
      </c>
      <c r="L55" s="8">
        <v>6.41</v>
      </c>
      <c r="M55" s="9">
        <v>24384</v>
      </c>
    </row>
    <row r="56" spans="1:13" ht="15" thickBot="1" x14ac:dyDescent="0.35">
      <c r="A56">
        <v>1226</v>
      </c>
      <c r="B56">
        <v>14712</v>
      </c>
      <c r="C56">
        <v>123</v>
      </c>
      <c r="D56" t="s">
        <v>9</v>
      </c>
      <c r="E56" s="2">
        <v>9.1897770527460579E-2</v>
      </c>
      <c r="F56" s="6">
        <v>45331</v>
      </c>
      <c r="G56" s="7" t="s">
        <v>39</v>
      </c>
      <c r="H56" s="8">
        <v>557</v>
      </c>
      <c r="I56" s="8">
        <v>360</v>
      </c>
      <c r="J56" s="8">
        <f>Table43[[#This Row],[New_Followers]]-Table43[[#This Row],[Unfollows]]</f>
        <v>197</v>
      </c>
      <c r="K56" s="8">
        <v>318779</v>
      </c>
      <c r="L56" s="8">
        <v>8.02</v>
      </c>
      <c r="M56" s="9">
        <v>25797</v>
      </c>
    </row>
    <row r="57" spans="1:13" ht="15" thickBot="1" x14ac:dyDescent="0.35">
      <c r="A57">
        <v>2946</v>
      </c>
      <c r="B57">
        <v>29460</v>
      </c>
      <c r="C57">
        <v>60</v>
      </c>
      <c r="D57" t="s">
        <v>0</v>
      </c>
      <c r="E57" s="2">
        <v>0.12936184657162253</v>
      </c>
      <c r="F57" s="6">
        <v>45331</v>
      </c>
      <c r="G57" s="7" t="s">
        <v>40</v>
      </c>
      <c r="H57" s="8">
        <v>728</v>
      </c>
      <c r="I57" s="8">
        <v>395</v>
      </c>
      <c r="J57" s="8">
        <f>Table43[[#This Row],[New_Followers]]-Table43[[#This Row],[Unfollows]]</f>
        <v>333</v>
      </c>
      <c r="K57" s="8">
        <v>370971</v>
      </c>
      <c r="L57" s="8">
        <v>3.86</v>
      </c>
      <c r="M57" s="9">
        <v>12646</v>
      </c>
    </row>
    <row r="58" spans="1:13" ht="15" thickBot="1" x14ac:dyDescent="0.35">
      <c r="A58">
        <v>2825</v>
      </c>
      <c r="B58">
        <v>45200</v>
      </c>
      <c r="C58">
        <v>169</v>
      </c>
      <c r="D58" t="s">
        <v>0</v>
      </c>
      <c r="E58" s="2">
        <v>8.0862831858407078E-2</v>
      </c>
      <c r="F58" s="6">
        <v>45544</v>
      </c>
      <c r="G58" s="7" t="s">
        <v>37</v>
      </c>
      <c r="H58" s="8">
        <v>1592</v>
      </c>
      <c r="I58" s="8">
        <v>20</v>
      </c>
      <c r="J58" s="8">
        <f>Table43[[#This Row],[New_Followers]]-Table43[[#This Row],[Unfollows]]</f>
        <v>1572</v>
      </c>
      <c r="K58" s="8">
        <v>378054</v>
      </c>
      <c r="L58" s="8">
        <v>9.09</v>
      </c>
      <c r="M58" s="9">
        <v>26663</v>
      </c>
    </row>
    <row r="59" spans="1:13" ht="15" thickBot="1" x14ac:dyDescent="0.35">
      <c r="A59">
        <v>103</v>
      </c>
      <c r="B59">
        <v>1030</v>
      </c>
      <c r="C59">
        <v>262</v>
      </c>
      <c r="D59" t="s">
        <v>6</v>
      </c>
      <c r="E59" s="2">
        <v>0.86601941747572819</v>
      </c>
      <c r="F59" s="6">
        <v>45544</v>
      </c>
      <c r="G59" s="7" t="s">
        <v>38</v>
      </c>
      <c r="H59" s="8">
        <v>1842</v>
      </c>
      <c r="I59" s="8">
        <v>414</v>
      </c>
      <c r="J59" s="8">
        <f>Table43[[#This Row],[New_Followers]]-Table43[[#This Row],[Unfollows]]</f>
        <v>1428</v>
      </c>
      <c r="K59" s="8">
        <v>307524</v>
      </c>
      <c r="L59" s="8">
        <v>1.76</v>
      </c>
      <c r="M59" s="9">
        <v>40478</v>
      </c>
    </row>
    <row r="60" spans="1:13" ht="15" thickBot="1" x14ac:dyDescent="0.35">
      <c r="A60">
        <v>2180</v>
      </c>
      <c r="B60">
        <v>30520</v>
      </c>
      <c r="C60">
        <v>174</v>
      </c>
      <c r="D60" t="s">
        <v>3</v>
      </c>
      <c r="E60" s="2">
        <v>9.2726081258191345E-2</v>
      </c>
      <c r="F60" s="6">
        <v>45544</v>
      </c>
      <c r="G60" s="7" t="s">
        <v>39</v>
      </c>
      <c r="H60" s="8">
        <v>751</v>
      </c>
      <c r="I60" s="8">
        <v>491</v>
      </c>
      <c r="J60" s="8">
        <f>Table43[[#This Row],[New_Followers]]-Table43[[#This Row],[Unfollows]]</f>
        <v>260</v>
      </c>
      <c r="K60" s="8">
        <v>434047</v>
      </c>
      <c r="L60" s="8">
        <v>9.24</v>
      </c>
      <c r="M60" s="9">
        <v>15476</v>
      </c>
    </row>
    <row r="61" spans="1:13" ht="15" thickBot="1" x14ac:dyDescent="0.35">
      <c r="A61">
        <v>904</v>
      </c>
      <c r="B61">
        <v>11752</v>
      </c>
      <c r="C61">
        <v>84</v>
      </c>
      <c r="D61" t="s">
        <v>3</v>
      </c>
      <c r="E61" s="2">
        <v>0.1650782845473111</v>
      </c>
      <c r="F61" s="6">
        <v>45544</v>
      </c>
      <c r="G61" s="7" t="s">
        <v>40</v>
      </c>
      <c r="H61" s="8">
        <v>1409</v>
      </c>
      <c r="I61" s="8">
        <v>309</v>
      </c>
      <c r="J61" s="8">
        <f>Table43[[#This Row],[New_Followers]]-Table43[[#This Row],[Unfollows]]</f>
        <v>1100</v>
      </c>
      <c r="K61" s="8">
        <v>64583</v>
      </c>
      <c r="L61" s="8">
        <v>8.99</v>
      </c>
      <c r="M61" s="9">
        <v>10217</v>
      </c>
    </row>
    <row r="62" spans="1:13" ht="15" thickBot="1" x14ac:dyDescent="0.35">
      <c r="A62">
        <v>4886</v>
      </c>
      <c r="B62">
        <v>43974</v>
      </c>
      <c r="C62">
        <v>65</v>
      </c>
      <c r="D62" t="s">
        <v>3</v>
      </c>
      <c r="E62" s="2">
        <v>0.14276618001546368</v>
      </c>
      <c r="F62" s="10" t="s">
        <v>48</v>
      </c>
      <c r="G62" s="7" t="s">
        <v>37</v>
      </c>
      <c r="H62" s="8">
        <v>778</v>
      </c>
      <c r="I62" s="8">
        <v>401</v>
      </c>
      <c r="J62" s="8">
        <f>Table43[[#This Row],[New_Followers]]-Table43[[#This Row],[Unfollows]]</f>
        <v>377</v>
      </c>
      <c r="K62" s="8">
        <v>50793</v>
      </c>
      <c r="L62" s="8">
        <v>3.4</v>
      </c>
      <c r="M62" s="9">
        <v>21939</v>
      </c>
    </row>
    <row r="63" spans="1:13" ht="15" thickBot="1" x14ac:dyDescent="0.35">
      <c r="A63">
        <v>53</v>
      </c>
      <c r="B63">
        <v>954</v>
      </c>
      <c r="C63">
        <v>148</v>
      </c>
      <c r="D63" t="s">
        <v>6</v>
      </c>
      <c r="E63" s="2">
        <v>0.53773584905660377</v>
      </c>
      <c r="F63" s="10" t="s">
        <v>48</v>
      </c>
      <c r="G63" s="7" t="s">
        <v>38</v>
      </c>
      <c r="H63" s="8">
        <v>443</v>
      </c>
      <c r="I63" s="8">
        <v>345</v>
      </c>
      <c r="J63" s="8">
        <f>Table43[[#This Row],[New_Followers]]-Table43[[#This Row],[Unfollows]]</f>
        <v>98</v>
      </c>
      <c r="K63" s="8">
        <v>474162</v>
      </c>
      <c r="L63" s="8">
        <v>9.1999999999999993</v>
      </c>
      <c r="M63" s="9">
        <v>47462</v>
      </c>
    </row>
    <row r="64" spans="1:13" ht="15" thickBot="1" x14ac:dyDescent="0.35">
      <c r="A64">
        <v>4507</v>
      </c>
      <c r="B64">
        <v>90140</v>
      </c>
      <c r="C64">
        <v>125</v>
      </c>
      <c r="D64" t="s">
        <v>3</v>
      </c>
      <c r="E64" s="2">
        <v>5.2551586421122697E-2</v>
      </c>
      <c r="F64" s="10" t="s">
        <v>48</v>
      </c>
      <c r="G64" s="7" t="s">
        <v>39</v>
      </c>
      <c r="H64" s="8">
        <v>1472</v>
      </c>
      <c r="I64" s="8">
        <v>347</v>
      </c>
      <c r="J64" s="8">
        <f>Table43[[#This Row],[New_Followers]]-Table43[[#This Row],[Unfollows]]</f>
        <v>1125</v>
      </c>
      <c r="K64" s="8">
        <v>392355</v>
      </c>
      <c r="L64" s="8">
        <v>8.59</v>
      </c>
      <c r="M64" s="9">
        <v>30270</v>
      </c>
    </row>
    <row r="65" spans="1:13" ht="15" thickBot="1" x14ac:dyDescent="0.35">
      <c r="A65">
        <v>2878</v>
      </c>
      <c r="B65">
        <v>43170</v>
      </c>
      <c r="C65">
        <v>75</v>
      </c>
      <c r="D65" t="s">
        <v>0</v>
      </c>
      <c r="E65" s="2">
        <v>8.2047718322909427E-2</v>
      </c>
      <c r="F65" s="10" t="s">
        <v>48</v>
      </c>
      <c r="G65" s="7" t="s">
        <v>40</v>
      </c>
      <c r="H65" s="8">
        <v>123</v>
      </c>
      <c r="I65" s="8">
        <v>155</v>
      </c>
      <c r="J65" s="8">
        <f>Table43[[#This Row],[New_Followers]]-Table43[[#This Row],[Unfollows]]</f>
        <v>-32</v>
      </c>
      <c r="K65" s="8">
        <v>119934</v>
      </c>
      <c r="L65" s="8">
        <v>3.5</v>
      </c>
      <c r="M65" s="9">
        <v>5442</v>
      </c>
    </row>
    <row r="66" spans="1:13" ht="15" thickBot="1" x14ac:dyDescent="0.35">
      <c r="A66">
        <v>1881</v>
      </c>
      <c r="B66">
        <v>20691</v>
      </c>
      <c r="C66">
        <v>289</v>
      </c>
      <c r="D66" t="s">
        <v>0</v>
      </c>
      <c r="E66" s="2">
        <v>0.11990720603160794</v>
      </c>
      <c r="F66" s="10" t="s">
        <v>49</v>
      </c>
      <c r="G66" s="7" t="s">
        <v>37</v>
      </c>
      <c r="H66" s="8">
        <v>817</v>
      </c>
      <c r="I66" s="8">
        <v>151</v>
      </c>
      <c r="J66" s="8">
        <f>Table43[[#This Row],[New_Followers]]-Table43[[#This Row],[Unfollows]]</f>
        <v>666</v>
      </c>
      <c r="K66" s="8">
        <v>422625</v>
      </c>
      <c r="L66" s="8">
        <v>2.36</v>
      </c>
      <c r="M66" s="9">
        <v>1083</v>
      </c>
    </row>
    <row r="67" spans="1:13" ht="15" thickBot="1" x14ac:dyDescent="0.35">
      <c r="A67">
        <v>432</v>
      </c>
      <c r="B67">
        <v>3024</v>
      </c>
      <c r="C67">
        <v>184</v>
      </c>
      <c r="D67" t="s">
        <v>6</v>
      </c>
      <c r="E67" s="2">
        <v>0.29199735449735448</v>
      </c>
      <c r="F67" s="10" t="s">
        <v>49</v>
      </c>
      <c r="G67" s="7" t="s">
        <v>38</v>
      </c>
      <c r="H67" s="8">
        <v>198</v>
      </c>
      <c r="I67" s="8">
        <v>217</v>
      </c>
      <c r="J67" s="8">
        <f>Table43[[#This Row],[New_Followers]]-Table43[[#This Row],[Unfollows]]</f>
        <v>-19</v>
      </c>
      <c r="K67" s="8">
        <v>239753</v>
      </c>
      <c r="L67" s="8">
        <v>7.36</v>
      </c>
      <c r="M67" s="9">
        <v>11901</v>
      </c>
    </row>
    <row r="68" spans="1:13" ht="15" thickBot="1" x14ac:dyDescent="0.35">
      <c r="A68">
        <v>4712</v>
      </c>
      <c r="B68">
        <v>84816</v>
      </c>
      <c r="C68">
        <v>100</v>
      </c>
      <c r="D68" t="s">
        <v>3</v>
      </c>
      <c r="E68" s="2">
        <v>6.3749764195434822E-2</v>
      </c>
      <c r="F68" s="10" t="s">
        <v>49</v>
      </c>
      <c r="G68" s="7" t="s">
        <v>39</v>
      </c>
      <c r="H68" s="8">
        <v>1911</v>
      </c>
      <c r="I68" s="8">
        <v>231</v>
      </c>
      <c r="J68" s="8">
        <f>Table43[[#This Row],[New_Followers]]-Table43[[#This Row],[Unfollows]]</f>
        <v>1680</v>
      </c>
      <c r="K68" s="8">
        <v>268516</v>
      </c>
      <c r="L68" s="8">
        <v>8.5500000000000007</v>
      </c>
      <c r="M68" s="9">
        <v>24018</v>
      </c>
    </row>
    <row r="69" spans="1:13" ht="15" thickBot="1" x14ac:dyDescent="0.35">
      <c r="A69">
        <v>2610</v>
      </c>
      <c r="B69">
        <v>15660</v>
      </c>
      <c r="C69">
        <v>73</v>
      </c>
      <c r="D69" t="s">
        <v>3</v>
      </c>
      <c r="E69" s="2">
        <v>0.19310344827586207</v>
      </c>
      <c r="F69" s="10" t="s">
        <v>49</v>
      </c>
      <c r="G69" s="7" t="s">
        <v>40</v>
      </c>
      <c r="H69" s="8">
        <v>1218</v>
      </c>
      <c r="I69" s="8">
        <v>212</v>
      </c>
      <c r="J69" s="8">
        <f>Table43[[#This Row],[New_Followers]]-Table43[[#This Row],[Unfollows]]</f>
        <v>1006</v>
      </c>
      <c r="K69" s="8">
        <v>63177</v>
      </c>
      <c r="L69" s="8">
        <v>8.1300000000000008</v>
      </c>
      <c r="M69" s="9">
        <v>38883</v>
      </c>
    </row>
    <row r="70" spans="1:13" ht="15" thickBot="1" x14ac:dyDescent="0.35">
      <c r="A70">
        <v>1292</v>
      </c>
      <c r="B70">
        <v>25840</v>
      </c>
      <c r="C70">
        <v>149</v>
      </c>
      <c r="D70" t="s">
        <v>9</v>
      </c>
      <c r="E70" s="2">
        <v>9.3421052631578946E-2</v>
      </c>
      <c r="F70" s="10" t="s">
        <v>50</v>
      </c>
      <c r="G70" s="7" t="s">
        <v>37</v>
      </c>
      <c r="H70" s="8">
        <v>1433</v>
      </c>
      <c r="I70" s="8">
        <v>408</v>
      </c>
      <c r="J70" s="8">
        <f>Table43[[#This Row],[New_Followers]]-Table43[[#This Row],[Unfollows]]</f>
        <v>1025</v>
      </c>
      <c r="K70" s="8">
        <v>370269</v>
      </c>
      <c r="L70" s="8">
        <v>3.3</v>
      </c>
      <c r="M70" s="9">
        <v>30575</v>
      </c>
    </row>
    <row r="71" spans="1:13" ht="15" thickBot="1" x14ac:dyDescent="0.35">
      <c r="A71">
        <v>199</v>
      </c>
      <c r="B71">
        <v>3582</v>
      </c>
      <c r="C71">
        <v>43</v>
      </c>
      <c r="D71" t="s">
        <v>3</v>
      </c>
      <c r="E71" s="2">
        <v>0.38274706867671693</v>
      </c>
      <c r="F71" s="10" t="s">
        <v>50</v>
      </c>
      <c r="G71" s="7" t="s">
        <v>38</v>
      </c>
      <c r="H71" s="8">
        <v>250</v>
      </c>
      <c r="I71" s="8">
        <v>429</v>
      </c>
      <c r="J71" s="8">
        <f>Table43[[#This Row],[New_Followers]]-Table43[[#This Row],[Unfollows]]</f>
        <v>-179</v>
      </c>
      <c r="K71" s="8">
        <v>453423</v>
      </c>
      <c r="L71" s="8">
        <v>1.77</v>
      </c>
      <c r="M71" s="9">
        <v>2315</v>
      </c>
    </row>
    <row r="72" spans="1:13" ht="15" thickBot="1" x14ac:dyDescent="0.35">
      <c r="A72">
        <v>2551</v>
      </c>
      <c r="B72">
        <v>30612</v>
      </c>
      <c r="C72">
        <v>227</v>
      </c>
      <c r="D72" t="s">
        <v>0</v>
      </c>
      <c r="E72" s="2">
        <v>0.1199202926956749</v>
      </c>
      <c r="F72" s="10" t="s">
        <v>50</v>
      </c>
      <c r="G72" s="7" t="s">
        <v>39</v>
      </c>
      <c r="H72" s="8">
        <v>752</v>
      </c>
      <c r="I72" s="8">
        <v>153</v>
      </c>
      <c r="J72" s="8">
        <f>Table43[[#This Row],[New_Followers]]-Table43[[#This Row],[Unfollows]]</f>
        <v>599</v>
      </c>
      <c r="K72" s="8">
        <v>64906</v>
      </c>
      <c r="L72" s="8">
        <v>2.09</v>
      </c>
      <c r="M72" s="9">
        <v>12148</v>
      </c>
    </row>
    <row r="73" spans="1:13" ht="15" thickBot="1" x14ac:dyDescent="0.35">
      <c r="A73">
        <v>296</v>
      </c>
      <c r="B73">
        <v>5624</v>
      </c>
      <c r="C73">
        <v>88</v>
      </c>
      <c r="D73" t="s">
        <v>9</v>
      </c>
      <c r="E73" s="2">
        <v>8.837126600284495E-2</v>
      </c>
      <c r="F73" s="10" t="s">
        <v>50</v>
      </c>
      <c r="G73" s="7" t="s">
        <v>40</v>
      </c>
      <c r="H73" s="8">
        <v>1918</v>
      </c>
      <c r="I73" s="8">
        <v>212</v>
      </c>
      <c r="J73" s="8">
        <f>Table43[[#This Row],[New_Followers]]-Table43[[#This Row],[Unfollows]]</f>
        <v>1706</v>
      </c>
      <c r="K73" s="8">
        <v>94360</v>
      </c>
      <c r="L73" s="8">
        <v>7.36</v>
      </c>
      <c r="M73" s="9">
        <v>36851</v>
      </c>
    </row>
    <row r="74" spans="1:13" ht="15" thickBot="1" x14ac:dyDescent="0.35">
      <c r="A74">
        <v>4126</v>
      </c>
      <c r="B74">
        <v>78394</v>
      </c>
      <c r="C74">
        <v>88</v>
      </c>
      <c r="D74" t="s">
        <v>3</v>
      </c>
      <c r="E74" s="2">
        <v>6.4265122330790625E-2</v>
      </c>
      <c r="F74" s="6">
        <v>45483</v>
      </c>
      <c r="G74" s="7" t="s">
        <v>37</v>
      </c>
      <c r="H74" s="8">
        <v>1939</v>
      </c>
      <c r="I74" s="8">
        <v>67</v>
      </c>
      <c r="J74" s="8">
        <f>Table43[[#This Row],[New_Followers]]-Table43[[#This Row],[Unfollows]]</f>
        <v>1872</v>
      </c>
      <c r="K74" s="8">
        <v>187183</v>
      </c>
      <c r="L74" s="8">
        <v>6.25</v>
      </c>
      <c r="M74" s="9">
        <v>41215</v>
      </c>
    </row>
    <row r="75" spans="1:13" ht="15" thickBot="1" x14ac:dyDescent="0.35">
      <c r="A75">
        <v>1855</v>
      </c>
      <c r="B75">
        <v>16695</v>
      </c>
      <c r="C75">
        <v>123</v>
      </c>
      <c r="D75" t="s">
        <v>6</v>
      </c>
      <c r="E75" s="2">
        <v>0.13351302785265048</v>
      </c>
      <c r="F75" s="6">
        <v>45483</v>
      </c>
      <c r="G75" s="7" t="s">
        <v>38</v>
      </c>
      <c r="H75" s="8">
        <v>1929</v>
      </c>
      <c r="I75" s="8">
        <v>267</v>
      </c>
      <c r="J75" s="8">
        <f>Table43[[#This Row],[New_Followers]]-Table43[[#This Row],[Unfollows]]</f>
        <v>1662</v>
      </c>
      <c r="K75" s="8">
        <v>379363</v>
      </c>
      <c r="L75" s="8">
        <v>1.75</v>
      </c>
      <c r="M75" s="9">
        <v>43836</v>
      </c>
    </row>
    <row r="76" spans="1:13" ht="15" thickBot="1" x14ac:dyDescent="0.35">
      <c r="A76">
        <v>1674</v>
      </c>
      <c r="B76">
        <v>21762</v>
      </c>
      <c r="C76">
        <v>255</v>
      </c>
      <c r="D76" t="s">
        <v>6</v>
      </c>
      <c r="E76" s="2">
        <v>0.12131237937689551</v>
      </c>
      <c r="F76" s="6">
        <v>45483</v>
      </c>
      <c r="G76" s="7" t="s">
        <v>39</v>
      </c>
      <c r="H76" s="8">
        <v>437</v>
      </c>
      <c r="I76" s="8">
        <v>330</v>
      </c>
      <c r="J76" s="8">
        <f>Table43[[#This Row],[New_Followers]]-Table43[[#This Row],[Unfollows]]</f>
        <v>107</v>
      </c>
      <c r="K76" s="8">
        <v>476486</v>
      </c>
      <c r="L76" s="8">
        <v>4.97</v>
      </c>
      <c r="M76" s="9">
        <v>4509</v>
      </c>
    </row>
    <row r="77" spans="1:13" ht="15" thickBot="1" x14ac:dyDescent="0.35">
      <c r="A77">
        <v>1121</v>
      </c>
      <c r="B77">
        <v>15694</v>
      </c>
      <c r="C77">
        <v>99</v>
      </c>
      <c r="D77" t="s">
        <v>9</v>
      </c>
      <c r="E77" s="2">
        <v>8.1177520071364848E-2</v>
      </c>
      <c r="F77" s="6">
        <v>45483</v>
      </c>
      <c r="G77" s="7" t="s">
        <v>40</v>
      </c>
      <c r="H77" s="8">
        <v>307</v>
      </c>
      <c r="I77" s="8">
        <v>189</v>
      </c>
      <c r="J77" s="8">
        <f>Table43[[#This Row],[New_Followers]]-Table43[[#This Row],[Unfollows]]</f>
        <v>118</v>
      </c>
      <c r="K77" s="8">
        <v>117767</v>
      </c>
      <c r="L77" s="8">
        <v>9.3000000000000007</v>
      </c>
      <c r="M77" s="9">
        <v>27822</v>
      </c>
    </row>
    <row r="78" spans="1:13" ht="15" thickBot="1" x14ac:dyDescent="0.35">
      <c r="A78">
        <v>1249</v>
      </c>
      <c r="B78">
        <v>8743</v>
      </c>
      <c r="C78">
        <v>63</v>
      </c>
      <c r="D78" t="s">
        <v>6</v>
      </c>
      <c r="E78" s="2">
        <v>0.20416333066453163</v>
      </c>
      <c r="F78" s="10" t="s">
        <v>51</v>
      </c>
      <c r="G78" s="7" t="s">
        <v>37</v>
      </c>
      <c r="H78" s="8">
        <v>1527</v>
      </c>
      <c r="I78" s="8">
        <v>303</v>
      </c>
      <c r="J78" s="8">
        <f>Table43[[#This Row],[New_Followers]]-Table43[[#This Row],[Unfollows]]</f>
        <v>1224</v>
      </c>
      <c r="K78" s="8">
        <v>388555</v>
      </c>
      <c r="L78" s="8">
        <v>8.9</v>
      </c>
      <c r="M78" s="9">
        <v>36397</v>
      </c>
    </row>
    <row r="79" spans="1:13" ht="15" thickBot="1" x14ac:dyDescent="0.35">
      <c r="A79">
        <v>954</v>
      </c>
      <c r="B79">
        <v>19080</v>
      </c>
      <c r="C79">
        <v>21</v>
      </c>
      <c r="D79" t="s">
        <v>6</v>
      </c>
      <c r="E79" s="2">
        <v>8.2075471698113203E-2</v>
      </c>
      <c r="F79" s="10" t="s">
        <v>51</v>
      </c>
      <c r="G79" s="7" t="s">
        <v>38</v>
      </c>
      <c r="H79" s="8">
        <v>643</v>
      </c>
      <c r="I79" s="8">
        <v>358</v>
      </c>
      <c r="J79" s="8">
        <f>Table43[[#This Row],[New_Followers]]-Table43[[#This Row],[Unfollows]]</f>
        <v>285</v>
      </c>
      <c r="K79" s="8">
        <v>157599</v>
      </c>
      <c r="L79" s="8">
        <v>3.88</v>
      </c>
      <c r="M79" s="9">
        <v>7285</v>
      </c>
    </row>
    <row r="80" spans="1:13" ht="15" thickBot="1" x14ac:dyDescent="0.35">
      <c r="A80">
        <v>3068</v>
      </c>
      <c r="B80">
        <v>39884</v>
      </c>
      <c r="C80">
        <v>266</v>
      </c>
      <c r="D80" t="s">
        <v>6</v>
      </c>
      <c r="E80" s="2">
        <v>8.860696018453515E-2</v>
      </c>
      <c r="F80" s="10" t="s">
        <v>51</v>
      </c>
      <c r="G80" s="7" t="s">
        <v>39</v>
      </c>
      <c r="H80" s="8">
        <v>201</v>
      </c>
      <c r="I80" s="8">
        <v>221</v>
      </c>
      <c r="J80" s="8">
        <f>Table43[[#This Row],[New_Followers]]-Table43[[#This Row],[Unfollows]]</f>
        <v>-20</v>
      </c>
      <c r="K80" s="8">
        <v>309772</v>
      </c>
      <c r="L80" s="8">
        <v>5.9</v>
      </c>
      <c r="M80" s="9">
        <v>33174</v>
      </c>
    </row>
    <row r="81" spans="1:13" ht="15" thickBot="1" x14ac:dyDescent="0.35">
      <c r="A81">
        <v>2103</v>
      </c>
      <c r="B81">
        <v>39957</v>
      </c>
      <c r="C81">
        <v>28</v>
      </c>
      <c r="D81" t="s">
        <v>0</v>
      </c>
      <c r="E81" s="2">
        <v>7.7533348349475686E-2</v>
      </c>
      <c r="F81" s="10" t="s">
        <v>51</v>
      </c>
      <c r="G81" s="7" t="s">
        <v>40</v>
      </c>
      <c r="H81" s="8">
        <v>414</v>
      </c>
      <c r="I81" s="8">
        <v>47</v>
      </c>
      <c r="J81" s="8">
        <f>Table43[[#This Row],[New_Followers]]-Table43[[#This Row],[Unfollows]]</f>
        <v>367</v>
      </c>
      <c r="K81" s="8">
        <v>199178</v>
      </c>
      <c r="L81" s="8">
        <v>1.53</v>
      </c>
      <c r="M81" s="9">
        <v>6742</v>
      </c>
    </row>
    <row r="82" spans="1:13" ht="15" thickBot="1" x14ac:dyDescent="0.35">
      <c r="A82">
        <v>1816</v>
      </c>
      <c r="B82">
        <v>19976</v>
      </c>
      <c r="C82">
        <v>283</v>
      </c>
      <c r="D82" t="s">
        <v>6</v>
      </c>
      <c r="E82" s="2">
        <v>9.4413295955146179E-2</v>
      </c>
      <c r="F82" s="10" t="s">
        <v>52</v>
      </c>
      <c r="G82" s="7" t="s">
        <v>37</v>
      </c>
      <c r="H82" s="8">
        <v>703</v>
      </c>
      <c r="I82" s="8">
        <v>441</v>
      </c>
      <c r="J82" s="8">
        <f>Table43[[#This Row],[New_Followers]]-Table43[[#This Row],[Unfollows]]</f>
        <v>262</v>
      </c>
      <c r="K82" s="8">
        <v>357089</v>
      </c>
      <c r="L82" s="8">
        <v>6.5</v>
      </c>
      <c r="M82" s="9">
        <v>32478</v>
      </c>
    </row>
    <row r="83" spans="1:13" ht="15" thickBot="1" x14ac:dyDescent="0.35">
      <c r="A83">
        <v>725</v>
      </c>
      <c r="B83">
        <v>14500</v>
      </c>
      <c r="C83">
        <v>200</v>
      </c>
      <c r="D83" t="s">
        <v>6</v>
      </c>
      <c r="E83" s="2">
        <v>8.558620689655172E-2</v>
      </c>
      <c r="F83" s="10" t="s">
        <v>52</v>
      </c>
      <c r="G83" s="7" t="s">
        <v>38</v>
      </c>
      <c r="H83" s="8">
        <v>508</v>
      </c>
      <c r="I83" s="8">
        <v>69</v>
      </c>
      <c r="J83" s="8">
        <f>Table43[[#This Row],[New_Followers]]-Table43[[#This Row],[Unfollows]]</f>
        <v>439</v>
      </c>
      <c r="K83" s="8">
        <v>23492</v>
      </c>
      <c r="L83" s="8">
        <v>3.16</v>
      </c>
      <c r="M83" s="9">
        <v>42824</v>
      </c>
    </row>
    <row r="84" spans="1:13" ht="15" thickBot="1" x14ac:dyDescent="0.35">
      <c r="A84">
        <v>1094</v>
      </c>
      <c r="B84">
        <v>9846</v>
      </c>
      <c r="C84">
        <v>112</v>
      </c>
      <c r="D84" t="s">
        <v>6</v>
      </c>
      <c r="E84" s="2">
        <v>0.16118220597196831</v>
      </c>
      <c r="F84" s="10" t="s">
        <v>52</v>
      </c>
      <c r="G84" s="7" t="s">
        <v>39</v>
      </c>
      <c r="H84" s="8">
        <v>697</v>
      </c>
      <c r="I84" s="8">
        <v>61</v>
      </c>
      <c r="J84" s="8">
        <f>Table43[[#This Row],[New_Followers]]-Table43[[#This Row],[Unfollows]]</f>
        <v>636</v>
      </c>
      <c r="K84" s="8">
        <v>258287</v>
      </c>
      <c r="L84" s="8">
        <v>8.25</v>
      </c>
      <c r="M84" s="9">
        <v>21208</v>
      </c>
    </row>
    <row r="85" spans="1:13" ht="15" thickBot="1" x14ac:dyDescent="0.35">
      <c r="A85">
        <v>1841</v>
      </c>
      <c r="B85">
        <v>34979</v>
      </c>
      <c r="C85">
        <v>255</v>
      </c>
      <c r="D85" t="s">
        <v>3</v>
      </c>
      <c r="E85" s="2">
        <v>8.6737756939878216E-2</v>
      </c>
      <c r="F85" s="10" t="s">
        <v>52</v>
      </c>
      <c r="G85" s="7" t="s">
        <v>40</v>
      </c>
      <c r="H85" s="8">
        <v>1707</v>
      </c>
      <c r="I85" s="8">
        <v>223</v>
      </c>
      <c r="J85" s="8">
        <f>Table43[[#This Row],[New_Followers]]-Table43[[#This Row],[Unfollows]]</f>
        <v>1484</v>
      </c>
      <c r="K85" s="8">
        <v>256910</v>
      </c>
      <c r="L85" s="8">
        <v>5.41</v>
      </c>
      <c r="M85" s="9">
        <v>44321</v>
      </c>
    </row>
    <row r="86" spans="1:13" ht="15" thickBot="1" x14ac:dyDescent="0.35">
      <c r="A86">
        <v>4177</v>
      </c>
      <c r="B86">
        <v>25062</v>
      </c>
      <c r="C86">
        <v>230</v>
      </c>
      <c r="D86" t="s">
        <v>3</v>
      </c>
      <c r="E86" s="2">
        <v>0.19156491900087783</v>
      </c>
      <c r="F86" s="10" t="s">
        <v>53</v>
      </c>
      <c r="G86" s="7" t="s">
        <v>37</v>
      </c>
      <c r="H86" s="8">
        <v>642</v>
      </c>
      <c r="I86" s="8">
        <v>66</v>
      </c>
      <c r="J86" s="8">
        <f>Table43[[#This Row],[New_Followers]]-Table43[[#This Row],[Unfollows]]</f>
        <v>576</v>
      </c>
      <c r="K86" s="8">
        <v>346522</v>
      </c>
      <c r="L86" s="8">
        <v>5.85</v>
      </c>
      <c r="M86" s="9">
        <v>13116</v>
      </c>
    </row>
    <row r="87" spans="1:13" ht="15" thickBot="1" x14ac:dyDescent="0.35">
      <c r="A87">
        <v>3428</v>
      </c>
      <c r="B87">
        <v>58276</v>
      </c>
      <c r="C87">
        <v>242</v>
      </c>
      <c r="D87" t="s">
        <v>6</v>
      </c>
      <c r="E87" s="2">
        <v>6.5515821264328367E-2</v>
      </c>
      <c r="F87" s="10" t="s">
        <v>53</v>
      </c>
      <c r="G87" s="7" t="s">
        <v>38</v>
      </c>
      <c r="H87" s="8">
        <v>859</v>
      </c>
      <c r="I87" s="8">
        <v>473</v>
      </c>
      <c r="J87" s="8">
        <f>Table43[[#This Row],[New_Followers]]-Table43[[#This Row],[Unfollows]]</f>
        <v>386</v>
      </c>
      <c r="K87" s="8">
        <v>209987</v>
      </c>
      <c r="L87" s="8">
        <v>4.46</v>
      </c>
      <c r="M87" s="9">
        <v>30214</v>
      </c>
    </row>
    <row r="88" spans="1:13" ht="15" thickBot="1" x14ac:dyDescent="0.35">
      <c r="A88">
        <v>1436</v>
      </c>
      <c r="B88">
        <v>12924</v>
      </c>
      <c r="C88">
        <v>197</v>
      </c>
      <c r="D88" t="s">
        <v>0</v>
      </c>
      <c r="E88" s="2">
        <v>0.20868152274837512</v>
      </c>
      <c r="F88" s="10" t="s">
        <v>53</v>
      </c>
      <c r="G88" s="7" t="s">
        <v>39</v>
      </c>
      <c r="H88" s="8">
        <v>191</v>
      </c>
      <c r="I88" s="8">
        <v>154</v>
      </c>
      <c r="J88" s="8">
        <f>Table43[[#This Row],[New_Followers]]-Table43[[#This Row],[Unfollows]]</f>
        <v>37</v>
      </c>
      <c r="K88" s="8">
        <v>240550</v>
      </c>
      <c r="L88" s="8">
        <v>5.22</v>
      </c>
      <c r="M88" s="9">
        <v>15827</v>
      </c>
    </row>
    <row r="89" spans="1:13" ht="15" thickBot="1" x14ac:dyDescent="0.35">
      <c r="A89">
        <v>302</v>
      </c>
      <c r="B89">
        <v>5738</v>
      </c>
      <c r="C89">
        <v>25</v>
      </c>
      <c r="D89" t="s">
        <v>0</v>
      </c>
      <c r="E89" s="2">
        <v>0.13576158940397351</v>
      </c>
      <c r="F89" s="10" t="s">
        <v>53</v>
      </c>
      <c r="G89" s="7" t="s">
        <v>40</v>
      </c>
      <c r="H89" s="8">
        <v>1814</v>
      </c>
      <c r="I89" s="8">
        <v>157</v>
      </c>
      <c r="J89" s="8">
        <f>Table43[[#This Row],[New_Followers]]-Table43[[#This Row],[Unfollows]]</f>
        <v>1657</v>
      </c>
      <c r="K89" s="8">
        <v>305827</v>
      </c>
      <c r="L89" s="8">
        <v>1.99</v>
      </c>
      <c r="M89" s="9">
        <v>46643</v>
      </c>
    </row>
    <row r="90" spans="1:13" ht="15" thickBot="1" x14ac:dyDescent="0.35">
      <c r="A90">
        <v>2214</v>
      </c>
      <c r="B90">
        <v>15498</v>
      </c>
      <c r="C90">
        <v>180</v>
      </c>
      <c r="D90" t="s">
        <v>0</v>
      </c>
      <c r="E90" s="2">
        <v>0.16873144921925409</v>
      </c>
      <c r="F90" s="6">
        <v>45393</v>
      </c>
      <c r="G90" s="7" t="s">
        <v>37</v>
      </c>
      <c r="H90" s="8">
        <v>1466</v>
      </c>
      <c r="I90" s="8">
        <v>69</v>
      </c>
      <c r="J90" s="8">
        <f>Table43[[#This Row],[New_Followers]]-Table43[[#This Row],[Unfollows]]</f>
        <v>1397</v>
      </c>
      <c r="K90" s="8">
        <v>54935</v>
      </c>
      <c r="L90" s="8">
        <v>6.85</v>
      </c>
      <c r="M90" s="9">
        <v>36484</v>
      </c>
    </row>
    <row r="91" spans="1:13" ht="15" thickBot="1" x14ac:dyDescent="0.35">
      <c r="A91">
        <v>3861</v>
      </c>
      <c r="B91">
        <v>69498</v>
      </c>
      <c r="C91">
        <v>297</v>
      </c>
      <c r="D91" t="s">
        <v>0</v>
      </c>
      <c r="E91" s="2">
        <v>7.0822181933293038E-2</v>
      </c>
      <c r="F91" s="6">
        <v>45393</v>
      </c>
      <c r="G91" s="7" t="s">
        <v>38</v>
      </c>
      <c r="H91" s="8">
        <v>947</v>
      </c>
      <c r="I91" s="8">
        <v>407</v>
      </c>
      <c r="J91" s="8">
        <f>Table43[[#This Row],[New_Followers]]-Table43[[#This Row],[Unfollows]]</f>
        <v>540</v>
      </c>
      <c r="K91" s="8">
        <v>319186</v>
      </c>
      <c r="L91" s="8">
        <v>3.32</v>
      </c>
      <c r="M91" s="9">
        <v>4996</v>
      </c>
    </row>
    <row r="92" spans="1:13" ht="15" thickBot="1" x14ac:dyDescent="0.35">
      <c r="A92">
        <v>1263</v>
      </c>
      <c r="B92">
        <v>25260</v>
      </c>
      <c r="C92">
        <v>137</v>
      </c>
      <c r="D92" t="s">
        <v>0</v>
      </c>
      <c r="E92" s="2">
        <v>7.984956452889945E-2</v>
      </c>
      <c r="F92" s="6">
        <v>45393</v>
      </c>
      <c r="G92" s="7" t="s">
        <v>39</v>
      </c>
      <c r="H92" s="8">
        <v>1821</v>
      </c>
      <c r="I92" s="8">
        <v>218</v>
      </c>
      <c r="J92" s="8">
        <f>Table43[[#This Row],[New_Followers]]-Table43[[#This Row],[Unfollows]]</f>
        <v>1603</v>
      </c>
      <c r="K92" s="8">
        <v>439080</v>
      </c>
      <c r="L92" s="8">
        <v>5.68</v>
      </c>
      <c r="M92" s="9">
        <v>36095</v>
      </c>
    </row>
    <row r="93" spans="1:13" ht="15" thickBot="1" x14ac:dyDescent="0.35">
      <c r="A93">
        <v>3801</v>
      </c>
      <c r="B93">
        <v>38010</v>
      </c>
      <c r="C93">
        <v>236</v>
      </c>
      <c r="D93" t="s">
        <v>9</v>
      </c>
      <c r="E93" s="2">
        <v>0.13599052880820836</v>
      </c>
      <c r="F93" s="6">
        <v>45393</v>
      </c>
      <c r="G93" s="7" t="s">
        <v>40</v>
      </c>
      <c r="H93" s="8">
        <v>1507</v>
      </c>
      <c r="I93" s="8">
        <v>463</v>
      </c>
      <c r="J93" s="8">
        <f>Table43[[#This Row],[New_Followers]]-Table43[[#This Row],[Unfollows]]</f>
        <v>1044</v>
      </c>
      <c r="K93" s="8">
        <v>258944</v>
      </c>
      <c r="L93" s="8">
        <v>6.08</v>
      </c>
      <c r="M93" s="9">
        <v>16443</v>
      </c>
    </row>
    <row r="94" spans="1:13" ht="15" thickBot="1" x14ac:dyDescent="0.35">
      <c r="A94">
        <v>1431</v>
      </c>
      <c r="B94">
        <v>8586</v>
      </c>
      <c r="C94">
        <v>150</v>
      </c>
      <c r="D94" t="s">
        <v>3</v>
      </c>
      <c r="E94" s="2">
        <v>0.28045655718611695</v>
      </c>
      <c r="F94" s="6">
        <v>45607</v>
      </c>
      <c r="G94" s="7" t="s">
        <v>37</v>
      </c>
      <c r="H94" s="8">
        <v>1075</v>
      </c>
      <c r="I94" s="8">
        <v>173</v>
      </c>
      <c r="J94" s="8">
        <f>Table43[[#This Row],[New_Followers]]-Table43[[#This Row],[Unfollows]]</f>
        <v>902</v>
      </c>
      <c r="K94" s="8">
        <v>51395</v>
      </c>
      <c r="L94" s="8">
        <v>4.66</v>
      </c>
      <c r="M94" s="9">
        <v>47812</v>
      </c>
    </row>
    <row r="95" spans="1:13" ht="15" thickBot="1" x14ac:dyDescent="0.35">
      <c r="A95">
        <v>2647</v>
      </c>
      <c r="B95">
        <v>18529</v>
      </c>
      <c r="C95">
        <v>46</v>
      </c>
      <c r="D95" t="s">
        <v>0</v>
      </c>
      <c r="E95" s="2">
        <v>0.16843866371633656</v>
      </c>
      <c r="F95" s="6">
        <v>45607</v>
      </c>
      <c r="G95" s="7" t="s">
        <v>38</v>
      </c>
      <c r="H95" s="8">
        <v>171</v>
      </c>
      <c r="I95" s="8">
        <v>277</v>
      </c>
      <c r="J95" s="8">
        <f>Table43[[#This Row],[New_Followers]]-Table43[[#This Row],[Unfollows]]</f>
        <v>-106</v>
      </c>
      <c r="K95" s="8">
        <v>309483</v>
      </c>
      <c r="L95" s="8">
        <v>8.6999999999999993</v>
      </c>
      <c r="M95" s="9">
        <v>38452</v>
      </c>
    </row>
    <row r="96" spans="1:13" ht="15" thickBot="1" x14ac:dyDescent="0.35">
      <c r="A96">
        <v>3182</v>
      </c>
      <c r="B96">
        <v>57276</v>
      </c>
      <c r="C96">
        <v>163</v>
      </c>
      <c r="D96" t="s">
        <v>0</v>
      </c>
      <c r="E96" s="2">
        <v>6.8108806480899509E-2</v>
      </c>
      <c r="F96" s="6">
        <v>45607</v>
      </c>
      <c r="G96" s="7" t="s">
        <v>39</v>
      </c>
      <c r="H96" s="8">
        <v>1487</v>
      </c>
      <c r="I96" s="8">
        <v>337</v>
      </c>
      <c r="J96" s="8">
        <f>Table43[[#This Row],[New_Followers]]-Table43[[#This Row],[Unfollows]]</f>
        <v>1150</v>
      </c>
      <c r="K96" s="8">
        <v>87305</v>
      </c>
      <c r="L96" s="8">
        <v>2.46</v>
      </c>
      <c r="M96" s="9">
        <v>30428</v>
      </c>
    </row>
    <row r="97" spans="1:13" ht="15" thickBot="1" x14ac:dyDescent="0.35">
      <c r="A97">
        <v>1238</v>
      </c>
      <c r="B97">
        <v>19808</v>
      </c>
      <c r="C97">
        <v>123</v>
      </c>
      <c r="D97" t="s">
        <v>6</v>
      </c>
      <c r="E97" s="2">
        <v>0.10339256865912763</v>
      </c>
      <c r="F97" s="6">
        <v>45607</v>
      </c>
      <c r="G97" s="7" t="s">
        <v>40</v>
      </c>
      <c r="H97" s="8">
        <v>454</v>
      </c>
      <c r="I97" s="8">
        <v>105</v>
      </c>
      <c r="J97" s="8">
        <f>Table43[[#This Row],[New_Followers]]-Table43[[#This Row],[Unfollows]]</f>
        <v>349</v>
      </c>
      <c r="K97" s="8">
        <v>121091</v>
      </c>
      <c r="L97" s="8">
        <v>7.97</v>
      </c>
      <c r="M97" s="9">
        <v>9269</v>
      </c>
    </row>
    <row r="98" spans="1:13" ht="15" thickBot="1" x14ac:dyDescent="0.35">
      <c r="A98">
        <v>4739</v>
      </c>
      <c r="B98">
        <v>61607</v>
      </c>
      <c r="C98">
        <v>36</v>
      </c>
      <c r="D98" t="s">
        <v>0</v>
      </c>
      <c r="E98" s="2">
        <v>8.7668609086629767E-2</v>
      </c>
      <c r="F98" s="10" t="s">
        <v>54</v>
      </c>
      <c r="G98" s="7" t="s">
        <v>37</v>
      </c>
      <c r="H98" s="8">
        <v>187</v>
      </c>
      <c r="I98" s="8">
        <v>236</v>
      </c>
      <c r="J98" s="8">
        <f>Table43[[#This Row],[New_Followers]]-Table43[[#This Row],[Unfollows]]</f>
        <v>-49</v>
      </c>
      <c r="K98" s="8">
        <v>51087</v>
      </c>
      <c r="L98" s="8">
        <v>9.41</v>
      </c>
      <c r="M98" s="9">
        <v>29533</v>
      </c>
    </row>
    <row r="99" spans="1:13" ht="15" thickBot="1" x14ac:dyDescent="0.35">
      <c r="A99">
        <v>1575</v>
      </c>
      <c r="B99">
        <v>25200</v>
      </c>
      <c r="C99">
        <v>17</v>
      </c>
      <c r="D99" t="s">
        <v>6</v>
      </c>
      <c r="E99" s="2">
        <v>0.11238095238095239</v>
      </c>
      <c r="F99" s="10" t="s">
        <v>54</v>
      </c>
      <c r="G99" s="7" t="s">
        <v>38</v>
      </c>
      <c r="H99" s="8">
        <v>513</v>
      </c>
      <c r="I99" s="8">
        <v>441</v>
      </c>
      <c r="J99" s="8">
        <f>Table43[[#This Row],[New_Followers]]-Table43[[#This Row],[Unfollows]]</f>
        <v>72</v>
      </c>
      <c r="K99" s="8">
        <v>338847</v>
      </c>
      <c r="L99" s="8">
        <v>2.68</v>
      </c>
      <c r="M99" s="9">
        <v>39997</v>
      </c>
    </row>
    <row r="100" spans="1:13" ht="15" thickBot="1" x14ac:dyDescent="0.35">
      <c r="A100">
        <v>4171</v>
      </c>
      <c r="B100">
        <v>66736</v>
      </c>
      <c r="C100">
        <v>173</v>
      </c>
      <c r="D100" t="s">
        <v>6</v>
      </c>
      <c r="E100" s="2">
        <v>7.2000119875329657E-2</v>
      </c>
      <c r="F100" s="10" t="s">
        <v>54</v>
      </c>
      <c r="G100" s="7" t="s">
        <v>39</v>
      </c>
      <c r="H100" s="8">
        <v>628</v>
      </c>
      <c r="I100" s="8">
        <v>183</v>
      </c>
      <c r="J100" s="8">
        <f>Table43[[#This Row],[New_Followers]]-Table43[[#This Row],[Unfollows]]</f>
        <v>445</v>
      </c>
      <c r="K100" s="8">
        <v>487523</v>
      </c>
      <c r="L100" s="8">
        <v>7.32</v>
      </c>
      <c r="M100" s="9">
        <v>5391</v>
      </c>
    </row>
    <row r="101" spans="1:13" ht="15" thickBot="1" x14ac:dyDescent="0.35">
      <c r="A101">
        <v>1766</v>
      </c>
      <c r="B101">
        <v>24724</v>
      </c>
      <c r="C101">
        <v>52</v>
      </c>
      <c r="D101" t="s">
        <v>3</v>
      </c>
      <c r="E101" s="2">
        <v>9.2298980747451867E-2</v>
      </c>
      <c r="F101" s="10" t="s">
        <v>54</v>
      </c>
      <c r="G101" s="7" t="s">
        <v>40</v>
      </c>
      <c r="H101" s="8">
        <v>278</v>
      </c>
      <c r="I101" s="8">
        <v>218</v>
      </c>
      <c r="J101" s="8">
        <f>Table43[[#This Row],[New_Followers]]-Table43[[#This Row],[Unfollows]]</f>
        <v>60</v>
      </c>
      <c r="K101" s="8">
        <v>301695</v>
      </c>
      <c r="L101" s="8">
        <v>4.68</v>
      </c>
      <c r="M101" s="9">
        <v>22373</v>
      </c>
    </row>
    <row r="102" spans="1:13" ht="15" thickBot="1" x14ac:dyDescent="0.35">
      <c r="A102">
        <v>4450</v>
      </c>
      <c r="B102">
        <v>75650</v>
      </c>
      <c r="C102">
        <v>12</v>
      </c>
      <c r="D102" t="s">
        <v>0</v>
      </c>
      <c r="E102" s="2">
        <v>7.3707865168539333E-2</v>
      </c>
      <c r="F102" s="10" t="s">
        <v>55</v>
      </c>
      <c r="G102" s="7" t="s">
        <v>37</v>
      </c>
      <c r="H102" s="8">
        <v>1854</v>
      </c>
      <c r="I102" s="8">
        <v>161</v>
      </c>
      <c r="J102" s="8">
        <f>Table43[[#This Row],[New_Followers]]-Table43[[#This Row],[Unfollows]]</f>
        <v>1693</v>
      </c>
      <c r="K102" s="8">
        <v>282466</v>
      </c>
      <c r="L102" s="8">
        <v>5.17</v>
      </c>
      <c r="M102" s="9">
        <v>1810</v>
      </c>
    </row>
    <row r="103" spans="1:13" ht="15" thickBot="1" x14ac:dyDescent="0.35">
      <c r="A103">
        <v>1000</v>
      </c>
      <c r="B103">
        <v>6000</v>
      </c>
      <c r="C103">
        <v>223</v>
      </c>
      <c r="D103" t="s">
        <v>6</v>
      </c>
      <c r="E103" s="2">
        <v>0.35666666666666669</v>
      </c>
      <c r="F103" s="10" t="s">
        <v>55</v>
      </c>
      <c r="G103" s="7" t="s">
        <v>38</v>
      </c>
      <c r="H103" s="8">
        <v>1710</v>
      </c>
      <c r="I103" s="8">
        <v>378</v>
      </c>
      <c r="J103" s="8">
        <f>Table43[[#This Row],[New_Followers]]-Table43[[#This Row],[Unfollows]]</f>
        <v>1332</v>
      </c>
      <c r="K103" s="8">
        <v>336661</v>
      </c>
      <c r="L103" s="8">
        <v>6.2</v>
      </c>
      <c r="M103" s="9">
        <v>28498</v>
      </c>
    </row>
    <row r="104" spans="1:13" ht="15" thickBot="1" x14ac:dyDescent="0.35">
      <c r="A104">
        <v>3689</v>
      </c>
      <c r="B104">
        <v>40579</v>
      </c>
      <c r="C104">
        <v>212</v>
      </c>
      <c r="D104" t="s">
        <v>3</v>
      </c>
      <c r="E104" s="2">
        <v>9.9632815002833983E-2</v>
      </c>
      <c r="F104" s="10" t="s">
        <v>55</v>
      </c>
      <c r="G104" s="7" t="s">
        <v>39</v>
      </c>
      <c r="H104" s="8">
        <v>330</v>
      </c>
      <c r="I104" s="8">
        <v>232</v>
      </c>
      <c r="J104" s="8">
        <f>Table43[[#This Row],[New_Followers]]-Table43[[#This Row],[Unfollows]]</f>
        <v>98</v>
      </c>
      <c r="K104" s="8">
        <v>88455</v>
      </c>
      <c r="L104" s="8">
        <v>2.69</v>
      </c>
      <c r="M104" s="9">
        <v>39530</v>
      </c>
    </row>
    <row r="105" spans="1:13" ht="15" thickBot="1" x14ac:dyDescent="0.35">
      <c r="A105">
        <v>3655</v>
      </c>
      <c r="B105">
        <v>32895</v>
      </c>
      <c r="C105">
        <v>199</v>
      </c>
      <c r="D105" t="s">
        <v>9</v>
      </c>
      <c r="E105" s="2">
        <v>0.13707250341997265</v>
      </c>
      <c r="F105" s="10" t="s">
        <v>55</v>
      </c>
      <c r="G105" s="7" t="s">
        <v>40</v>
      </c>
      <c r="H105" s="8">
        <v>1293</v>
      </c>
      <c r="I105" s="8">
        <v>408</v>
      </c>
      <c r="J105" s="8">
        <f>Table43[[#This Row],[New_Followers]]-Table43[[#This Row],[Unfollows]]</f>
        <v>885</v>
      </c>
      <c r="K105" s="8">
        <v>62535</v>
      </c>
      <c r="L105" s="8">
        <v>8.9</v>
      </c>
      <c r="M105" s="9">
        <v>37876</v>
      </c>
    </row>
    <row r="106" spans="1:13" ht="15" thickBot="1" x14ac:dyDescent="0.35">
      <c r="A106">
        <v>498</v>
      </c>
      <c r="B106">
        <v>4482</v>
      </c>
      <c r="C106">
        <v>32</v>
      </c>
      <c r="D106" t="s">
        <v>9</v>
      </c>
      <c r="E106" s="2">
        <v>0.12896028558679162</v>
      </c>
      <c r="F106" s="6">
        <v>45334</v>
      </c>
      <c r="G106" s="7" t="s">
        <v>37</v>
      </c>
      <c r="H106" s="8">
        <v>1696</v>
      </c>
      <c r="I106" s="8">
        <v>71</v>
      </c>
      <c r="J106" s="8">
        <f>Table43[[#This Row],[New_Followers]]-Table43[[#This Row],[Unfollows]]</f>
        <v>1625</v>
      </c>
      <c r="K106" s="8">
        <v>421957</v>
      </c>
      <c r="L106" s="8">
        <v>3.79</v>
      </c>
      <c r="M106" s="9">
        <v>36103</v>
      </c>
    </row>
    <row r="107" spans="1:13" ht="15" thickBot="1" x14ac:dyDescent="0.35">
      <c r="A107">
        <v>4619</v>
      </c>
      <c r="B107">
        <v>69285</v>
      </c>
      <c r="C107">
        <v>298</v>
      </c>
      <c r="D107" t="s">
        <v>3</v>
      </c>
      <c r="E107" s="2">
        <v>8.5718409468138843E-2</v>
      </c>
      <c r="F107" s="6">
        <v>45334</v>
      </c>
      <c r="G107" s="7" t="s">
        <v>38</v>
      </c>
      <c r="H107" s="8">
        <v>1902</v>
      </c>
      <c r="I107" s="8">
        <v>196</v>
      </c>
      <c r="J107" s="8">
        <f>Table43[[#This Row],[New_Followers]]-Table43[[#This Row],[Unfollows]]</f>
        <v>1706</v>
      </c>
      <c r="K107" s="8">
        <v>470269</v>
      </c>
      <c r="L107" s="8">
        <v>4.79</v>
      </c>
      <c r="M107" s="9">
        <v>26103</v>
      </c>
    </row>
    <row r="108" spans="1:13" ht="15" thickBot="1" x14ac:dyDescent="0.35">
      <c r="A108">
        <v>4832</v>
      </c>
      <c r="B108">
        <v>91808</v>
      </c>
      <c r="C108">
        <v>182</v>
      </c>
      <c r="D108" t="s">
        <v>6</v>
      </c>
      <c r="E108" s="2">
        <v>6.2467323109097243E-2</v>
      </c>
      <c r="F108" s="6">
        <v>45334</v>
      </c>
      <c r="G108" s="7" t="s">
        <v>39</v>
      </c>
      <c r="H108" s="8">
        <v>1441</v>
      </c>
      <c r="I108" s="8">
        <v>268</v>
      </c>
      <c r="J108" s="8">
        <f>Table43[[#This Row],[New_Followers]]-Table43[[#This Row],[Unfollows]]</f>
        <v>1173</v>
      </c>
      <c r="K108" s="8">
        <v>309904</v>
      </c>
      <c r="L108" s="8">
        <v>6.37</v>
      </c>
      <c r="M108" s="9">
        <v>3455</v>
      </c>
    </row>
    <row r="109" spans="1:13" ht="15" thickBot="1" x14ac:dyDescent="0.35">
      <c r="A109">
        <v>4050</v>
      </c>
      <c r="B109">
        <v>52650</v>
      </c>
      <c r="C109">
        <v>209</v>
      </c>
      <c r="D109" t="s">
        <v>3</v>
      </c>
      <c r="E109" s="2">
        <v>0.10005698005698006</v>
      </c>
      <c r="F109" s="6">
        <v>45334</v>
      </c>
      <c r="G109" s="7" t="s">
        <v>40</v>
      </c>
      <c r="H109" s="8">
        <v>452</v>
      </c>
      <c r="I109" s="8">
        <v>161</v>
      </c>
      <c r="J109" s="8">
        <f>Table43[[#This Row],[New_Followers]]-Table43[[#This Row],[Unfollows]]</f>
        <v>291</v>
      </c>
      <c r="K109" s="8">
        <v>221274</v>
      </c>
      <c r="L109" s="8">
        <v>2.65</v>
      </c>
      <c r="M109" s="9">
        <v>40888</v>
      </c>
    </row>
    <row r="110" spans="1:13" ht="15" thickBot="1" x14ac:dyDescent="0.35">
      <c r="A110">
        <v>3649</v>
      </c>
      <c r="B110">
        <v>25543</v>
      </c>
      <c r="C110">
        <v>167</v>
      </c>
      <c r="D110" t="s">
        <v>3</v>
      </c>
      <c r="E110" s="2">
        <v>0.16744313510550835</v>
      </c>
      <c r="F110" s="6">
        <v>45547</v>
      </c>
      <c r="G110" s="7" t="s">
        <v>37</v>
      </c>
      <c r="H110" s="8">
        <v>1494</v>
      </c>
      <c r="I110" s="8">
        <v>375</v>
      </c>
      <c r="J110" s="8">
        <f>Table43[[#This Row],[New_Followers]]-Table43[[#This Row],[Unfollows]]</f>
        <v>1119</v>
      </c>
      <c r="K110" s="8">
        <v>220616</v>
      </c>
      <c r="L110" s="8">
        <v>1.81</v>
      </c>
      <c r="M110" s="9">
        <v>22724</v>
      </c>
    </row>
    <row r="111" spans="1:13" ht="15" thickBot="1" x14ac:dyDescent="0.35">
      <c r="A111">
        <v>3523</v>
      </c>
      <c r="B111">
        <v>38753</v>
      </c>
      <c r="C111">
        <v>270</v>
      </c>
      <c r="D111" t="s">
        <v>0</v>
      </c>
      <c r="E111" s="2">
        <v>0.12277759141227776</v>
      </c>
      <c r="F111" s="6">
        <v>45547</v>
      </c>
      <c r="G111" s="7" t="s">
        <v>38</v>
      </c>
      <c r="H111" s="8">
        <v>1514</v>
      </c>
      <c r="I111" s="8">
        <v>141</v>
      </c>
      <c r="J111" s="8">
        <f>Table43[[#This Row],[New_Followers]]-Table43[[#This Row],[Unfollows]]</f>
        <v>1373</v>
      </c>
      <c r="K111" s="8">
        <v>35842</v>
      </c>
      <c r="L111" s="8">
        <v>7.47</v>
      </c>
      <c r="M111" s="9">
        <v>18601</v>
      </c>
    </row>
    <row r="112" spans="1:13" ht="15" thickBot="1" x14ac:dyDescent="0.35">
      <c r="A112">
        <v>2719</v>
      </c>
      <c r="B112">
        <v>40785</v>
      </c>
      <c r="C112">
        <v>40</v>
      </c>
      <c r="D112" t="s">
        <v>6</v>
      </c>
      <c r="E112" s="2">
        <v>7.4071349760941527E-2</v>
      </c>
      <c r="F112" s="6">
        <v>45547</v>
      </c>
      <c r="G112" s="7" t="s">
        <v>39</v>
      </c>
      <c r="H112" s="8">
        <v>1937</v>
      </c>
      <c r="I112" s="8">
        <v>210</v>
      </c>
      <c r="J112" s="8">
        <f>Table43[[#This Row],[New_Followers]]-Table43[[#This Row],[Unfollows]]</f>
        <v>1727</v>
      </c>
      <c r="K112" s="8">
        <v>20607</v>
      </c>
      <c r="L112" s="8">
        <v>4.2</v>
      </c>
      <c r="M112" s="9">
        <v>20861</v>
      </c>
    </row>
    <row r="113" spans="1:13" ht="15" thickBot="1" x14ac:dyDescent="0.35">
      <c r="A113">
        <v>1957</v>
      </c>
      <c r="B113">
        <v>17613</v>
      </c>
      <c r="C113">
        <v>297</v>
      </c>
      <c r="D113" t="s">
        <v>6</v>
      </c>
      <c r="E113" s="2">
        <v>0.17441662408448305</v>
      </c>
      <c r="F113" s="6">
        <v>45547</v>
      </c>
      <c r="G113" s="7" t="s">
        <v>40</v>
      </c>
      <c r="H113" s="8">
        <v>736</v>
      </c>
      <c r="I113" s="8">
        <v>163</v>
      </c>
      <c r="J113" s="8">
        <f>Table43[[#This Row],[New_Followers]]-Table43[[#This Row],[Unfollows]]</f>
        <v>573</v>
      </c>
      <c r="K113" s="8">
        <v>451894</v>
      </c>
      <c r="L113" s="8">
        <v>5.43</v>
      </c>
      <c r="M113" s="9">
        <v>46625</v>
      </c>
    </row>
    <row r="114" spans="1:13" ht="15" thickBot="1" x14ac:dyDescent="0.35">
      <c r="A114">
        <v>4419</v>
      </c>
      <c r="B114">
        <v>44190</v>
      </c>
      <c r="C114">
        <v>10</v>
      </c>
      <c r="D114" t="s">
        <v>9</v>
      </c>
      <c r="E114" s="2">
        <v>0.11369088028965829</v>
      </c>
      <c r="F114" s="10" t="s">
        <v>56</v>
      </c>
      <c r="G114" s="7" t="s">
        <v>37</v>
      </c>
      <c r="H114" s="8">
        <v>1502</v>
      </c>
      <c r="I114" s="8">
        <v>70</v>
      </c>
      <c r="J114" s="8">
        <f>Table43[[#This Row],[New_Followers]]-Table43[[#This Row],[Unfollows]]</f>
        <v>1432</v>
      </c>
      <c r="K114" s="8">
        <v>465553</v>
      </c>
      <c r="L114" s="8">
        <v>3.32</v>
      </c>
      <c r="M114" s="9">
        <v>20692</v>
      </c>
    </row>
    <row r="115" spans="1:13" ht="15" thickBot="1" x14ac:dyDescent="0.35">
      <c r="A115">
        <v>4000</v>
      </c>
      <c r="B115">
        <v>40000</v>
      </c>
      <c r="C115">
        <v>44</v>
      </c>
      <c r="D115" t="s">
        <v>6</v>
      </c>
      <c r="E115" s="2">
        <v>0.12942500000000001</v>
      </c>
      <c r="F115" s="10" t="s">
        <v>56</v>
      </c>
      <c r="G115" s="7" t="s">
        <v>38</v>
      </c>
      <c r="H115" s="8">
        <v>1623</v>
      </c>
      <c r="I115" s="8">
        <v>246</v>
      </c>
      <c r="J115" s="8">
        <f>Table43[[#This Row],[New_Followers]]-Table43[[#This Row],[Unfollows]]</f>
        <v>1377</v>
      </c>
      <c r="K115" s="8">
        <v>415815</v>
      </c>
      <c r="L115" s="8">
        <v>8.11</v>
      </c>
      <c r="M115" s="9">
        <v>18656</v>
      </c>
    </row>
    <row r="116" spans="1:13" ht="15" thickBot="1" x14ac:dyDescent="0.35">
      <c r="A116">
        <v>2493</v>
      </c>
      <c r="B116">
        <v>42381</v>
      </c>
      <c r="C116">
        <v>242</v>
      </c>
      <c r="D116" t="s">
        <v>3</v>
      </c>
      <c r="E116" s="2">
        <v>6.2150491965739366E-2</v>
      </c>
      <c r="F116" s="10" t="s">
        <v>56</v>
      </c>
      <c r="G116" s="7" t="s">
        <v>39</v>
      </c>
      <c r="H116" s="8">
        <v>1592</v>
      </c>
      <c r="I116" s="8">
        <v>233</v>
      </c>
      <c r="J116" s="8">
        <f>Table43[[#This Row],[New_Followers]]-Table43[[#This Row],[Unfollows]]</f>
        <v>1359</v>
      </c>
      <c r="K116" s="8">
        <v>327183</v>
      </c>
      <c r="L116" s="8">
        <v>6.66</v>
      </c>
      <c r="M116" s="9">
        <v>13316</v>
      </c>
    </row>
    <row r="117" spans="1:13" ht="15" thickBot="1" x14ac:dyDescent="0.35">
      <c r="A117">
        <v>3704</v>
      </c>
      <c r="B117">
        <v>25928</v>
      </c>
      <c r="C117">
        <v>131</v>
      </c>
      <c r="D117" t="s">
        <v>3</v>
      </c>
      <c r="E117" s="2">
        <v>0.16769515581610614</v>
      </c>
      <c r="F117" s="10" t="s">
        <v>56</v>
      </c>
      <c r="G117" s="7" t="s">
        <v>40</v>
      </c>
      <c r="H117" s="8">
        <v>1004</v>
      </c>
      <c r="I117" s="8">
        <v>128</v>
      </c>
      <c r="J117" s="8">
        <f>Table43[[#This Row],[New_Followers]]-Table43[[#This Row],[Unfollows]]</f>
        <v>876</v>
      </c>
      <c r="K117" s="8">
        <v>488901</v>
      </c>
      <c r="L117" s="8">
        <v>8.09</v>
      </c>
      <c r="M117" s="9">
        <v>49558</v>
      </c>
    </row>
    <row r="118" spans="1:13" ht="15" thickBot="1" x14ac:dyDescent="0.35">
      <c r="A118">
        <v>1606</v>
      </c>
      <c r="B118">
        <v>20878</v>
      </c>
      <c r="C118">
        <v>219</v>
      </c>
      <c r="D118" t="s">
        <v>0</v>
      </c>
      <c r="E118" s="2">
        <v>0.11792317271769326</v>
      </c>
      <c r="F118" s="10" t="s">
        <v>57</v>
      </c>
      <c r="G118" s="7" t="s">
        <v>37</v>
      </c>
      <c r="H118" s="8">
        <v>1092</v>
      </c>
      <c r="I118" s="8">
        <v>408</v>
      </c>
      <c r="J118" s="8">
        <f>Table43[[#This Row],[New_Followers]]-Table43[[#This Row],[Unfollows]]</f>
        <v>684</v>
      </c>
      <c r="K118" s="8">
        <v>280795</v>
      </c>
      <c r="L118" s="8">
        <v>8.44</v>
      </c>
      <c r="M118" s="9">
        <v>4683</v>
      </c>
    </row>
    <row r="119" spans="1:13" ht="15" thickBot="1" x14ac:dyDescent="0.35">
      <c r="A119">
        <v>4551</v>
      </c>
      <c r="B119">
        <v>68265</v>
      </c>
      <c r="C119">
        <v>57</v>
      </c>
      <c r="D119" t="s">
        <v>0</v>
      </c>
      <c r="E119" s="2">
        <v>8.0158206987475278E-2</v>
      </c>
      <c r="F119" s="10" t="s">
        <v>57</v>
      </c>
      <c r="G119" s="7" t="s">
        <v>38</v>
      </c>
      <c r="H119" s="8">
        <v>1155</v>
      </c>
      <c r="I119" s="8">
        <v>425</v>
      </c>
      <c r="J119" s="8">
        <f>Table43[[#This Row],[New_Followers]]-Table43[[#This Row],[Unfollows]]</f>
        <v>730</v>
      </c>
      <c r="K119" s="8">
        <v>93347</v>
      </c>
      <c r="L119" s="8">
        <v>2.02</v>
      </c>
      <c r="M119" s="9">
        <v>47502</v>
      </c>
    </row>
    <row r="120" spans="1:13" ht="15" thickBot="1" x14ac:dyDescent="0.35">
      <c r="A120">
        <v>1970</v>
      </c>
      <c r="B120">
        <v>9850</v>
      </c>
      <c r="C120">
        <v>117</v>
      </c>
      <c r="D120" t="s">
        <v>9</v>
      </c>
      <c r="E120" s="2">
        <v>0.31705583756345179</v>
      </c>
      <c r="F120" s="10" t="s">
        <v>57</v>
      </c>
      <c r="G120" s="7" t="s">
        <v>39</v>
      </c>
      <c r="H120" s="8">
        <v>1137</v>
      </c>
      <c r="I120" s="8">
        <v>226</v>
      </c>
      <c r="J120" s="8">
        <f>Table43[[#This Row],[New_Followers]]-Table43[[#This Row],[Unfollows]]</f>
        <v>911</v>
      </c>
      <c r="K120" s="8">
        <v>81119</v>
      </c>
      <c r="L120" s="8">
        <v>7.74</v>
      </c>
      <c r="M120" s="9">
        <v>35359</v>
      </c>
    </row>
    <row r="121" spans="1:13" ht="15" thickBot="1" x14ac:dyDescent="0.35">
      <c r="A121">
        <v>780</v>
      </c>
      <c r="B121">
        <v>8580</v>
      </c>
      <c r="C121">
        <v>91</v>
      </c>
      <c r="D121" t="s">
        <v>9</v>
      </c>
      <c r="E121" s="2">
        <v>0.23414918414918415</v>
      </c>
      <c r="F121" s="10" t="s">
        <v>57</v>
      </c>
      <c r="G121" s="7" t="s">
        <v>40</v>
      </c>
      <c r="H121" s="8">
        <v>1900</v>
      </c>
      <c r="I121" s="8">
        <v>311</v>
      </c>
      <c r="J121" s="8">
        <f>Table43[[#This Row],[New_Followers]]-Table43[[#This Row],[Unfollows]]</f>
        <v>1589</v>
      </c>
      <c r="K121" s="8">
        <v>25177</v>
      </c>
      <c r="L121" s="8">
        <v>2.89</v>
      </c>
      <c r="M121" s="9">
        <v>14154</v>
      </c>
    </row>
    <row r="122" spans="1:13" ht="15" thickBot="1" x14ac:dyDescent="0.35">
      <c r="A122">
        <v>498</v>
      </c>
      <c r="B122">
        <v>4980</v>
      </c>
      <c r="C122">
        <v>185</v>
      </c>
      <c r="D122" t="s">
        <v>9</v>
      </c>
      <c r="E122" s="2">
        <v>0.32349397590361445</v>
      </c>
      <c r="F122" s="10" t="s">
        <v>58</v>
      </c>
      <c r="G122" s="7" t="s">
        <v>37</v>
      </c>
      <c r="H122" s="8">
        <v>1814</v>
      </c>
      <c r="I122" s="8">
        <v>49</v>
      </c>
      <c r="J122" s="8">
        <f>Table43[[#This Row],[New_Followers]]-Table43[[#This Row],[Unfollows]]</f>
        <v>1765</v>
      </c>
      <c r="K122" s="8">
        <v>140804</v>
      </c>
      <c r="L122" s="8">
        <v>1.76</v>
      </c>
      <c r="M122" s="9">
        <v>4313</v>
      </c>
    </row>
    <row r="123" spans="1:13" ht="15" thickBot="1" x14ac:dyDescent="0.35">
      <c r="A123">
        <v>3432</v>
      </c>
      <c r="B123">
        <v>54912</v>
      </c>
      <c r="C123">
        <v>264</v>
      </c>
      <c r="D123" t="s">
        <v>0</v>
      </c>
      <c r="E123" s="2">
        <v>8.0565268065268064E-2</v>
      </c>
      <c r="F123" s="10" t="s">
        <v>58</v>
      </c>
      <c r="G123" s="7" t="s">
        <v>38</v>
      </c>
      <c r="H123" s="8">
        <v>1980</v>
      </c>
      <c r="I123" s="8">
        <v>204</v>
      </c>
      <c r="J123" s="8">
        <f>Table43[[#This Row],[New_Followers]]-Table43[[#This Row],[Unfollows]]</f>
        <v>1776</v>
      </c>
      <c r="K123" s="8">
        <v>379431</v>
      </c>
      <c r="L123" s="8">
        <v>3.09</v>
      </c>
      <c r="M123" s="9">
        <v>25140</v>
      </c>
    </row>
    <row r="124" spans="1:13" ht="15" thickBot="1" x14ac:dyDescent="0.35">
      <c r="A124">
        <v>4363</v>
      </c>
      <c r="B124">
        <v>21815</v>
      </c>
      <c r="C124">
        <v>157</v>
      </c>
      <c r="D124" t="s">
        <v>0</v>
      </c>
      <c r="E124" s="2">
        <v>0.23616777446710979</v>
      </c>
      <c r="F124" s="10" t="s">
        <v>58</v>
      </c>
      <c r="G124" s="7" t="s">
        <v>39</v>
      </c>
      <c r="H124" s="8">
        <v>1786</v>
      </c>
      <c r="I124" s="8">
        <v>257</v>
      </c>
      <c r="J124" s="8">
        <f>Table43[[#This Row],[New_Followers]]-Table43[[#This Row],[Unfollows]]</f>
        <v>1529</v>
      </c>
      <c r="K124" s="8">
        <v>274831</v>
      </c>
      <c r="L124" s="8">
        <v>4.68</v>
      </c>
      <c r="M124" s="9">
        <v>9118</v>
      </c>
    </row>
    <row r="125" spans="1:13" ht="15" thickBot="1" x14ac:dyDescent="0.35">
      <c r="A125">
        <v>736</v>
      </c>
      <c r="B125">
        <v>5152</v>
      </c>
      <c r="C125">
        <v>19</v>
      </c>
      <c r="D125" t="s">
        <v>6</v>
      </c>
      <c r="E125" s="2">
        <v>0.33618012422360249</v>
      </c>
      <c r="F125" s="10" t="s">
        <v>58</v>
      </c>
      <c r="G125" s="7" t="s">
        <v>40</v>
      </c>
      <c r="H125" s="8">
        <v>1495</v>
      </c>
      <c r="I125" s="8">
        <v>35</v>
      </c>
      <c r="J125" s="8">
        <f>Table43[[#This Row],[New_Followers]]-Table43[[#This Row],[Unfollows]]</f>
        <v>1460</v>
      </c>
      <c r="K125" s="8">
        <v>136845</v>
      </c>
      <c r="L125" s="8">
        <v>4.4800000000000004</v>
      </c>
      <c r="M125" s="9">
        <v>39931</v>
      </c>
    </row>
    <row r="126" spans="1:13" ht="15" thickBot="1" x14ac:dyDescent="0.35">
      <c r="A126">
        <v>3811</v>
      </c>
      <c r="B126">
        <v>34299</v>
      </c>
      <c r="C126">
        <v>233</v>
      </c>
      <c r="D126" t="s">
        <v>6</v>
      </c>
      <c r="E126" s="2">
        <v>0.14265722032712325</v>
      </c>
      <c r="F126" s="6">
        <v>45809</v>
      </c>
      <c r="G126" s="7" t="s">
        <v>37</v>
      </c>
      <c r="H126" s="8">
        <v>1013</v>
      </c>
      <c r="I126" s="8">
        <v>110</v>
      </c>
      <c r="J126" s="8">
        <f>Table43[[#This Row],[New_Followers]]-Table43[[#This Row],[Unfollows]]</f>
        <v>903</v>
      </c>
      <c r="K126" s="8">
        <v>466382</v>
      </c>
      <c r="L126" s="8">
        <v>5.3</v>
      </c>
      <c r="M126" s="9">
        <v>37132</v>
      </c>
    </row>
    <row r="127" spans="1:13" ht="15" thickBot="1" x14ac:dyDescent="0.35">
      <c r="A127">
        <v>4158</v>
      </c>
      <c r="B127">
        <v>45738</v>
      </c>
      <c r="C127">
        <v>142</v>
      </c>
      <c r="D127" t="s">
        <v>0</v>
      </c>
      <c r="E127" s="2">
        <v>9.9829463465827106E-2</v>
      </c>
      <c r="F127" s="6">
        <v>45809</v>
      </c>
      <c r="G127" s="7" t="s">
        <v>38</v>
      </c>
      <c r="H127" s="8">
        <v>816</v>
      </c>
      <c r="I127" s="8">
        <v>196</v>
      </c>
      <c r="J127" s="8">
        <f>Table43[[#This Row],[New_Followers]]-Table43[[#This Row],[Unfollows]]</f>
        <v>620</v>
      </c>
      <c r="K127" s="8">
        <v>95728</v>
      </c>
      <c r="L127" s="8">
        <v>8.1999999999999993</v>
      </c>
      <c r="M127" s="9">
        <v>17951</v>
      </c>
    </row>
    <row r="128" spans="1:13" ht="15" thickBot="1" x14ac:dyDescent="0.35">
      <c r="A128">
        <v>3452</v>
      </c>
      <c r="B128">
        <v>65588</v>
      </c>
      <c r="C128">
        <v>158</v>
      </c>
      <c r="D128" t="s">
        <v>3</v>
      </c>
      <c r="E128" s="2">
        <v>6.9311459413307311E-2</v>
      </c>
      <c r="F128" s="6">
        <v>45809</v>
      </c>
      <c r="G128" s="7" t="s">
        <v>39</v>
      </c>
      <c r="H128" s="8">
        <v>1633</v>
      </c>
      <c r="I128" s="8">
        <v>445</v>
      </c>
      <c r="J128" s="8">
        <f>Table43[[#This Row],[New_Followers]]-Table43[[#This Row],[Unfollows]]</f>
        <v>1188</v>
      </c>
      <c r="K128" s="8">
        <v>371156</v>
      </c>
      <c r="L128" s="8">
        <v>2.2200000000000002</v>
      </c>
      <c r="M128" s="9">
        <v>2798</v>
      </c>
    </row>
    <row r="129" spans="1:13" ht="15" thickBot="1" x14ac:dyDescent="0.35">
      <c r="A129">
        <v>3092</v>
      </c>
      <c r="B129">
        <v>27828</v>
      </c>
      <c r="C129">
        <v>102</v>
      </c>
      <c r="D129" t="s">
        <v>9</v>
      </c>
      <c r="E129" s="2">
        <v>0.12537731780940059</v>
      </c>
      <c r="F129" s="6">
        <v>45809</v>
      </c>
      <c r="G129" s="7" t="s">
        <v>40</v>
      </c>
      <c r="H129" s="8">
        <v>891</v>
      </c>
      <c r="I129" s="8">
        <v>45</v>
      </c>
      <c r="J129" s="8">
        <f>Table43[[#This Row],[New_Followers]]-Table43[[#This Row],[Unfollows]]</f>
        <v>846</v>
      </c>
      <c r="K129" s="8">
        <v>95410</v>
      </c>
      <c r="L129" s="8">
        <v>8.33</v>
      </c>
      <c r="M129" s="9">
        <v>15045</v>
      </c>
    </row>
    <row r="130" spans="1:13" ht="15" thickBot="1" x14ac:dyDescent="0.35">
      <c r="A130">
        <v>2147</v>
      </c>
      <c r="B130">
        <v>17176</v>
      </c>
      <c r="C130">
        <v>170</v>
      </c>
      <c r="D130" t="s">
        <v>9</v>
      </c>
      <c r="E130" s="2">
        <v>0.17291569632044715</v>
      </c>
      <c r="F130" s="10" t="s">
        <v>59</v>
      </c>
      <c r="G130" s="7" t="s">
        <v>37</v>
      </c>
      <c r="H130" s="8">
        <v>1855</v>
      </c>
      <c r="I130" s="8">
        <v>133</v>
      </c>
      <c r="J130" s="8">
        <f>Table43[[#This Row],[New_Followers]]-Table43[[#This Row],[Unfollows]]</f>
        <v>1722</v>
      </c>
      <c r="K130" s="8">
        <v>349413</v>
      </c>
      <c r="L130" s="8">
        <v>3.3</v>
      </c>
      <c r="M130" s="9">
        <v>14548</v>
      </c>
    </row>
    <row r="131" spans="1:13" ht="15" thickBot="1" x14ac:dyDescent="0.35">
      <c r="A131">
        <v>2936</v>
      </c>
      <c r="B131">
        <v>38168</v>
      </c>
      <c r="C131">
        <v>22</v>
      </c>
      <c r="D131" t="s">
        <v>6</v>
      </c>
      <c r="E131" s="2">
        <v>8.9577656675749323E-2</v>
      </c>
      <c r="F131" s="10" t="s">
        <v>59</v>
      </c>
      <c r="G131" s="7" t="s">
        <v>38</v>
      </c>
      <c r="H131" s="8">
        <v>651</v>
      </c>
      <c r="I131" s="8">
        <v>353</v>
      </c>
      <c r="J131" s="8">
        <f>Table43[[#This Row],[New_Followers]]-Table43[[#This Row],[Unfollows]]</f>
        <v>298</v>
      </c>
      <c r="K131" s="8">
        <v>224699</v>
      </c>
      <c r="L131" s="8">
        <v>5.61</v>
      </c>
      <c r="M131" s="9">
        <v>45708</v>
      </c>
    </row>
    <row r="132" spans="1:13" ht="15" thickBot="1" x14ac:dyDescent="0.35">
      <c r="A132">
        <v>4840</v>
      </c>
      <c r="B132">
        <v>43560</v>
      </c>
      <c r="C132">
        <v>57</v>
      </c>
      <c r="D132" t="s">
        <v>0</v>
      </c>
      <c r="E132" s="2">
        <v>0.13106060606060607</v>
      </c>
      <c r="F132" s="10" t="s">
        <v>59</v>
      </c>
      <c r="G132" s="7" t="s">
        <v>39</v>
      </c>
      <c r="H132" s="8">
        <v>118</v>
      </c>
      <c r="I132" s="8">
        <v>262</v>
      </c>
      <c r="J132" s="8">
        <f>Table43[[#This Row],[New_Followers]]-Table43[[#This Row],[Unfollows]]</f>
        <v>-144</v>
      </c>
      <c r="K132" s="8">
        <v>487896</v>
      </c>
      <c r="L132" s="8">
        <v>2.56</v>
      </c>
      <c r="M132" s="9">
        <v>12350</v>
      </c>
    </row>
    <row r="133" spans="1:13" ht="15" thickBot="1" x14ac:dyDescent="0.35">
      <c r="A133">
        <v>1947</v>
      </c>
      <c r="B133">
        <v>21417</v>
      </c>
      <c r="C133">
        <v>186</v>
      </c>
      <c r="D133" t="s">
        <v>0</v>
      </c>
      <c r="E133" s="2">
        <v>0.13493953401503478</v>
      </c>
      <c r="F133" s="10" t="s">
        <v>59</v>
      </c>
      <c r="G133" s="7" t="s">
        <v>40</v>
      </c>
      <c r="H133" s="8">
        <v>1331</v>
      </c>
      <c r="I133" s="8">
        <v>430</v>
      </c>
      <c r="J133" s="8">
        <f>Table43[[#This Row],[New_Followers]]-Table43[[#This Row],[Unfollows]]</f>
        <v>901</v>
      </c>
      <c r="K133" s="8">
        <v>14437</v>
      </c>
      <c r="L133" s="8">
        <v>3.29</v>
      </c>
      <c r="M133" s="9">
        <v>40868</v>
      </c>
    </row>
    <row r="134" spans="1:13" ht="15" thickBot="1" x14ac:dyDescent="0.35">
      <c r="A134">
        <v>2072</v>
      </c>
      <c r="B134">
        <v>37296</v>
      </c>
      <c r="C134">
        <v>25</v>
      </c>
      <c r="D134" t="s">
        <v>6</v>
      </c>
      <c r="E134" s="2">
        <v>7.172350922350923E-2</v>
      </c>
      <c r="F134" s="10" t="s">
        <v>60</v>
      </c>
      <c r="G134" s="7" t="s">
        <v>37</v>
      </c>
      <c r="H134" s="8">
        <v>1748</v>
      </c>
      <c r="I134" s="8">
        <v>176</v>
      </c>
      <c r="J134" s="8">
        <f>Table43[[#This Row],[New_Followers]]-Table43[[#This Row],[Unfollows]]</f>
        <v>1572</v>
      </c>
      <c r="K134" s="8">
        <v>383681</v>
      </c>
      <c r="L134" s="8">
        <v>9.24</v>
      </c>
      <c r="M134" s="9">
        <v>43122</v>
      </c>
    </row>
    <row r="135" spans="1:13" ht="15" thickBot="1" x14ac:dyDescent="0.35">
      <c r="A135">
        <v>3731</v>
      </c>
      <c r="B135">
        <v>55965</v>
      </c>
      <c r="C135">
        <v>103</v>
      </c>
      <c r="D135" t="s">
        <v>9</v>
      </c>
      <c r="E135" s="2">
        <v>7.1133744304476013E-2</v>
      </c>
      <c r="F135" s="10" t="s">
        <v>60</v>
      </c>
      <c r="G135" s="7" t="s">
        <v>38</v>
      </c>
      <c r="H135" s="8">
        <v>663</v>
      </c>
      <c r="I135" s="8">
        <v>236</v>
      </c>
      <c r="J135" s="8">
        <f>Table43[[#This Row],[New_Followers]]-Table43[[#This Row],[Unfollows]]</f>
        <v>427</v>
      </c>
      <c r="K135" s="8">
        <v>479490</v>
      </c>
      <c r="L135" s="8">
        <v>4.51</v>
      </c>
      <c r="M135" s="9">
        <v>23853</v>
      </c>
    </row>
    <row r="136" spans="1:13" ht="15" thickBot="1" x14ac:dyDescent="0.35">
      <c r="A136">
        <v>4213</v>
      </c>
      <c r="B136">
        <v>75834</v>
      </c>
      <c r="C136">
        <v>272</v>
      </c>
      <c r="D136" t="s">
        <v>6</v>
      </c>
      <c r="E136" s="2">
        <v>6.461481657304112E-2</v>
      </c>
      <c r="F136" s="10" t="s">
        <v>60</v>
      </c>
      <c r="G136" s="7" t="s">
        <v>39</v>
      </c>
      <c r="H136" s="8">
        <v>1040</v>
      </c>
      <c r="I136" s="8">
        <v>149</v>
      </c>
      <c r="J136" s="8">
        <f>Table43[[#This Row],[New_Followers]]-Table43[[#This Row],[Unfollows]]</f>
        <v>891</v>
      </c>
      <c r="K136" s="8">
        <v>124404</v>
      </c>
      <c r="L136" s="8">
        <v>5.23</v>
      </c>
      <c r="M136" s="9">
        <v>45380</v>
      </c>
    </row>
    <row r="137" spans="1:13" ht="15" thickBot="1" x14ac:dyDescent="0.35">
      <c r="A137">
        <v>3134</v>
      </c>
      <c r="B137">
        <v>21938</v>
      </c>
      <c r="C137">
        <v>130</v>
      </c>
      <c r="D137" t="s">
        <v>9</v>
      </c>
      <c r="E137" s="2">
        <v>0.20357370772176134</v>
      </c>
      <c r="F137" s="10" t="s">
        <v>60</v>
      </c>
      <c r="G137" s="7" t="s">
        <v>40</v>
      </c>
      <c r="H137" s="8">
        <v>1166</v>
      </c>
      <c r="I137" s="8">
        <v>442</v>
      </c>
      <c r="J137" s="8">
        <f>Table43[[#This Row],[New_Followers]]-Table43[[#This Row],[Unfollows]]</f>
        <v>724</v>
      </c>
      <c r="K137" s="8">
        <v>336949</v>
      </c>
      <c r="L137" s="8">
        <v>4.68</v>
      </c>
      <c r="M137" s="9">
        <v>7705</v>
      </c>
    </row>
    <row r="138" spans="1:13" ht="15" thickBot="1" x14ac:dyDescent="0.35">
      <c r="A138">
        <v>3008</v>
      </c>
      <c r="B138">
        <v>15040</v>
      </c>
      <c r="C138">
        <v>277</v>
      </c>
      <c r="D138" t="s">
        <v>3</v>
      </c>
      <c r="E138" s="2">
        <v>0.20871010638297871</v>
      </c>
      <c r="F138" s="10" t="s">
        <v>61</v>
      </c>
      <c r="G138" s="7" t="s">
        <v>37</v>
      </c>
      <c r="H138" s="8">
        <v>115</v>
      </c>
      <c r="I138" s="8">
        <v>281</v>
      </c>
      <c r="J138" s="8">
        <f>Table43[[#This Row],[New_Followers]]-Table43[[#This Row],[Unfollows]]</f>
        <v>-166</v>
      </c>
      <c r="K138" s="8">
        <v>357265</v>
      </c>
      <c r="L138" s="8">
        <v>9.23</v>
      </c>
      <c r="M138" s="9">
        <v>25525</v>
      </c>
    </row>
    <row r="139" spans="1:13" ht="15" thickBot="1" x14ac:dyDescent="0.35">
      <c r="A139">
        <v>305</v>
      </c>
      <c r="B139">
        <v>4575</v>
      </c>
      <c r="C139">
        <v>234</v>
      </c>
      <c r="D139" t="s">
        <v>9</v>
      </c>
      <c r="E139" s="2">
        <v>0.16065573770491803</v>
      </c>
      <c r="F139" s="10" t="s">
        <v>61</v>
      </c>
      <c r="G139" s="7" t="s">
        <v>38</v>
      </c>
      <c r="H139" s="8">
        <v>1249</v>
      </c>
      <c r="I139" s="8">
        <v>351</v>
      </c>
      <c r="J139" s="8">
        <f>Table43[[#This Row],[New_Followers]]-Table43[[#This Row],[Unfollows]]</f>
        <v>898</v>
      </c>
      <c r="K139" s="8">
        <v>321307</v>
      </c>
      <c r="L139" s="8">
        <v>6.37</v>
      </c>
      <c r="M139" s="9">
        <v>20560</v>
      </c>
    </row>
    <row r="140" spans="1:13" ht="15" thickBot="1" x14ac:dyDescent="0.35">
      <c r="A140">
        <v>2746</v>
      </c>
      <c r="B140">
        <v>32952</v>
      </c>
      <c r="C140">
        <v>147</v>
      </c>
      <c r="D140" t="s">
        <v>0</v>
      </c>
      <c r="E140" s="2">
        <v>9.422796795338674E-2</v>
      </c>
      <c r="F140" s="10" t="s">
        <v>61</v>
      </c>
      <c r="G140" s="7" t="s">
        <v>39</v>
      </c>
      <c r="H140" s="8">
        <v>1501</v>
      </c>
      <c r="I140" s="8">
        <v>75</v>
      </c>
      <c r="J140" s="8">
        <f>Table43[[#This Row],[New_Followers]]-Table43[[#This Row],[Unfollows]]</f>
        <v>1426</v>
      </c>
      <c r="K140" s="8">
        <v>262569</v>
      </c>
      <c r="L140" s="8">
        <v>2.0099999999999998</v>
      </c>
      <c r="M140" s="9">
        <v>19119</v>
      </c>
    </row>
    <row r="141" spans="1:13" ht="15" thickBot="1" x14ac:dyDescent="0.35">
      <c r="A141">
        <v>2291</v>
      </c>
      <c r="B141">
        <v>18328</v>
      </c>
      <c r="C141">
        <v>10</v>
      </c>
      <c r="D141" t="s">
        <v>3</v>
      </c>
      <c r="E141" s="2">
        <v>0.15571802706241816</v>
      </c>
      <c r="F141" s="10" t="s">
        <v>61</v>
      </c>
      <c r="G141" s="7" t="s">
        <v>40</v>
      </c>
      <c r="H141" s="8">
        <v>1411</v>
      </c>
      <c r="I141" s="8">
        <v>186</v>
      </c>
      <c r="J141" s="8">
        <f>Table43[[#This Row],[New_Followers]]-Table43[[#This Row],[Unfollows]]</f>
        <v>1225</v>
      </c>
      <c r="K141" s="8">
        <v>461669</v>
      </c>
      <c r="L141" s="8">
        <v>3.72</v>
      </c>
      <c r="M141" s="9">
        <v>43999</v>
      </c>
    </row>
    <row r="142" spans="1:13" ht="15" thickBot="1" x14ac:dyDescent="0.35">
      <c r="A142">
        <v>3170</v>
      </c>
      <c r="B142">
        <v>19020</v>
      </c>
      <c r="C142">
        <v>240</v>
      </c>
      <c r="D142" t="s">
        <v>6</v>
      </c>
      <c r="E142" s="2">
        <v>0.2316508937960042</v>
      </c>
      <c r="F142" s="6">
        <v>45718</v>
      </c>
      <c r="G142" s="7" t="s">
        <v>37</v>
      </c>
      <c r="H142" s="8">
        <v>1556</v>
      </c>
      <c r="I142" s="8">
        <v>476</v>
      </c>
      <c r="J142" s="8">
        <f>Table43[[#This Row],[New_Followers]]-Table43[[#This Row],[Unfollows]]</f>
        <v>1080</v>
      </c>
      <c r="K142" s="8">
        <v>351556</v>
      </c>
      <c r="L142" s="8">
        <v>3.89</v>
      </c>
      <c r="M142" s="9">
        <v>10825</v>
      </c>
    </row>
    <row r="143" spans="1:13" ht="15" thickBot="1" x14ac:dyDescent="0.35">
      <c r="A143">
        <v>2070</v>
      </c>
      <c r="B143">
        <v>39330</v>
      </c>
      <c r="C143">
        <v>114</v>
      </c>
      <c r="D143" t="s">
        <v>9</v>
      </c>
      <c r="E143" s="2">
        <v>6.9438087973557078E-2</v>
      </c>
      <c r="F143" s="6">
        <v>45718</v>
      </c>
      <c r="G143" s="7" t="s">
        <v>38</v>
      </c>
      <c r="H143" s="8">
        <v>1159</v>
      </c>
      <c r="I143" s="8">
        <v>411</v>
      </c>
      <c r="J143" s="8">
        <f>Table43[[#This Row],[New_Followers]]-Table43[[#This Row],[Unfollows]]</f>
        <v>748</v>
      </c>
      <c r="K143" s="8">
        <v>135987</v>
      </c>
      <c r="L143" s="8">
        <v>8.6999999999999993</v>
      </c>
      <c r="M143" s="9">
        <v>40323</v>
      </c>
    </row>
    <row r="144" spans="1:13" ht="15" thickBot="1" x14ac:dyDescent="0.35">
      <c r="A144">
        <v>80</v>
      </c>
      <c r="B144">
        <v>1040</v>
      </c>
      <c r="C144">
        <v>117</v>
      </c>
      <c r="D144" t="s">
        <v>0</v>
      </c>
      <c r="E144" s="2">
        <v>0.50192307692307692</v>
      </c>
      <c r="F144" s="6">
        <v>45718</v>
      </c>
      <c r="G144" s="7" t="s">
        <v>39</v>
      </c>
      <c r="H144" s="8">
        <v>927</v>
      </c>
      <c r="I144" s="8">
        <v>358</v>
      </c>
      <c r="J144" s="8">
        <f>Table43[[#This Row],[New_Followers]]-Table43[[#This Row],[Unfollows]]</f>
        <v>569</v>
      </c>
      <c r="K144" s="8">
        <v>177554</v>
      </c>
      <c r="L144" s="8">
        <v>6.95</v>
      </c>
      <c r="M144" s="9">
        <v>48270</v>
      </c>
    </row>
    <row r="145" spans="1:13" ht="15" thickBot="1" x14ac:dyDescent="0.35">
      <c r="A145">
        <v>4929</v>
      </c>
      <c r="B145">
        <v>93651</v>
      </c>
      <c r="C145">
        <v>66</v>
      </c>
      <c r="D145" t="s">
        <v>3</v>
      </c>
      <c r="E145" s="2">
        <v>6.5455787978772245E-2</v>
      </c>
      <c r="F145" s="6">
        <v>45718</v>
      </c>
      <c r="G145" s="7" t="s">
        <v>40</v>
      </c>
      <c r="H145" s="8">
        <v>152</v>
      </c>
      <c r="I145" s="8">
        <v>355</v>
      </c>
      <c r="J145" s="8">
        <f>Table43[[#This Row],[New_Followers]]-Table43[[#This Row],[Unfollows]]</f>
        <v>-203</v>
      </c>
      <c r="K145" s="8">
        <v>270766</v>
      </c>
      <c r="L145" s="8">
        <v>9.48</v>
      </c>
      <c r="M145" s="9">
        <v>18001</v>
      </c>
    </row>
    <row r="146" spans="1:13" ht="15" thickBot="1" x14ac:dyDescent="0.35">
      <c r="A146">
        <v>1878</v>
      </c>
      <c r="B146">
        <v>37560</v>
      </c>
      <c r="C146">
        <v>142</v>
      </c>
      <c r="D146" t="s">
        <v>3</v>
      </c>
      <c r="E146" s="2">
        <v>5.6416400425985093E-2</v>
      </c>
      <c r="F146" s="6">
        <v>45932</v>
      </c>
      <c r="G146" s="7" t="s">
        <v>37</v>
      </c>
      <c r="H146" s="8">
        <v>1957</v>
      </c>
      <c r="I146" s="8">
        <v>234</v>
      </c>
      <c r="J146" s="8">
        <f>Table43[[#This Row],[New_Followers]]-Table43[[#This Row],[Unfollows]]</f>
        <v>1723</v>
      </c>
      <c r="K146" s="8">
        <v>222126</v>
      </c>
      <c r="L146" s="8">
        <v>4.6100000000000003</v>
      </c>
      <c r="M146" s="9">
        <v>3314</v>
      </c>
    </row>
    <row r="147" spans="1:13" ht="15" thickBot="1" x14ac:dyDescent="0.35">
      <c r="A147">
        <v>3065</v>
      </c>
      <c r="B147">
        <v>18390</v>
      </c>
      <c r="C147">
        <v>200</v>
      </c>
      <c r="D147" t="s">
        <v>3</v>
      </c>
      <c r="E147" s="2">
        <v>0.21636759108210984</v>
      </c>
      <c r="F147" s="6">
        <v>45932</v>
      </c>
      <c r="G147" s="7" t="s">
        <v>38</v>
      </c>
      <c r="H147" s="8">
        <v>1294</v>
      </c>
      <c r="I147" s="8">
        <v>382</v>
      </c>
      <c r="J147" s="8">
        <f>Table43[[#This Row],[New_Followers]]-Table43[[#This Row],[Unfollows]]</f>
        <v>912</v>
      </c>
      <c r="K147" s="8">
        <v>309914</v>
      </c>
      <c r="L147" s="8">
        <v>8.0299999999999994</v>
      </c>
      <c r="M147" s="9">
        <v>23489</v>
      </c>
    </row>
    <row r="148" spans="1:13" ht="15" thickBot="1" x14ac:dyDescent="0.35">
      <c r="A148">
        <v>3256</v>
      </c>
      <c r="B148">
        <v>26048</v>
      </c>
      <c r="C148">
        <v>143</v>
      </c>
      <c r="D148" t="s">
        <v>6</v>
      </c>
      <c r="E148" s="2">
        <v>0.15283323095823095</v>
      </c>
      <c r="F148" s="6">
        <v>45932</v>
      </c>
      <c r="G148" s="7" t="s">
        <v>39</v>
      </c>
      <c r="H148" s="8">
        <v>1587</v>
      </c>
      <c r="I148" s="8">
        <v>385</v>
      </c>
      <c r="J148" s="8">
        <f>Table43[[#This Row],[New_Followers]]-Table43[[#This Row],[Unfollows]]</f>
        <v>1202</v>
      </c>
      <c r="K148" s="8">
        <v>126582</v>
      </c>
      <c r="L148" s="8">
        <v>6.99</v>
      </c>
      <c r="M148" s="9">
        <v>42832</v>
      </c>
    </row>
    <row r="149" spans="1:13" ht="15" thickBot="1" x14ac:dyDescent="0.35">
      <c r="A149">
        <v>4133</v>
      </c>
      <c r="B149">
        <v>24798</v>
      </c>
      <c r="C149">
        <v>176</v>
      </c>
      <c r="D149" t="s">
        <v>0</v>
      </c>
      <c r="E149" s="2">
        <v>0.19864505202032423</v>
      </c>
      <c r="F149" s="6">
        <v>45932</v>
      </c>
      <c r="G149" s="7" t="s">
        <v>40</v>
      </c>
      <c r="H149" s="8">
        <v>1707</v>
      </c>
      <c r="I149" s="8">
        <v>263</v>
      </c>
      <c r="J149" s="8">
        <f>Table43[[#This Row],[New_Followers]]-Table43[[#This Row],[Unfollows]]</f>
        <v>1444</v>
      </c>
      <c r="K149" s="8">
        <v>485280</v>
      </c>
      <c r="L149" s="8">
        <v>9.0299999999999994</v>
      </c>
      <c r="M149" s="9">
        <v>24494</v>
      </c>
    </row>
    <row r="150" spans="1:13" ht="15" thickBot="1" x14ac:dyDescent="0.35">
      <c r="A150">
        <v>1702</v>
      </c>
      <c r="B150">
        <v>34040</v>
      </c>
      <c r="C150">
        <v>76</v>
      </c>
      <c r="D150" t="s">
        <v>6</v>
      </c>
      <c r="E150" s="2">
        <v>7.7291421856639245E-2</v>
      </c>
      <c r="F150" s="10" t="s">
        <v>62</v>
      </c>
      <c r="G150" s="7" t="s">
        <v>37</v>
      </c>
      <c r="H150" s="8">
        <v>1138</v>
      </c>
      <c r="I150" s="8">
        <v>173</v>
      </c>
      <c r="J150" s="8">
        <f>Table43[[#This Row],[New_Followers]]-Table43[[#This Row],[Unfollows]]</f>
        <v>965</v>
      </c>
      <c r="K150" s="8">
        <v>453243</v>
      </c>
      <c r="L150" s="8">
        <v>2.86</v>
      </c>
      <c r="M150" s="9">
        <v>44097</v>
      </c>
    </row>
    <row r="151" spans="1:13" ht="15" thickBot="1" x14ac:dyDescent="0.35">
      <c r="A151">
        <v>4295</v>
      </c>
      <c r="B151">
        <v>85900</v>
      </c>
      <c r="C151">
        <v>290</v>
      </c>
      <c r="D151" t="s">
        <v>0</v>
      </c>
      <c r="E151" s="2">
        <v>6.3713620488940623E-2</v>
      </c>
      <c r="F151" s="10" t="s">
        <v>62</v>
      </c>
      <c r="G151" s="7" t="s">
        <v>38</v>
      </c>
      <c r="H151" s="8">
        <v>1895</v>
      </c>
      <c r="I151" s="8">
        <v>305</v>
      </c>
      <c r="J151" s="8">
        <f>Table43[[#This Row],[New_Followers]]-Table43[[#This Row],[Unfollows]]</f>
        <v>1590</v>
      </c>
      <c r="K151" s="8">
        <v>104967</v>
      </c>
      <c r="L151" s="8">
        <v>3.85</v>
      </c>
      <c r="M151" s="9">
        <v>31853</v>
      </c>
    </row>
    <row r="152" spans="1:13" ht="15" thickBot="1" x14ac:dyDescent="0.35">
      <c r="A152">
        <v>3559</v>
      </c>
      <c r="B152">
        <v>35590</v>
      </c>
      <c r="C152">
        <v>122</v>
      </c>
      <c r="D152" t="s">
        <v>6</v>
      </c>
      <c r="E152" s="2">
        <v>0.10977802753582468</v>
      </c>
      <c r="F152" s="10" t="s">
        <v>62</v>
      </c>
      <c r="G152" s="7" t="s">
        <v>39</v>
      </c>
      <c r="H152" s="8">
        <v>362</v>
      </c>
      <c r="I152" s="8">
        <v>399</v>
      </c>
      <c r="J152" s="8">
        <f>Table43[[#This Row],[New_Followers]]-Table43[[#This Row],[Unfollows]]</f>
        <v>-37</v>
      </c>
      <c r="K152" s="8">
        <v>145608</v>
      </c>
      <c r="L152" s="8">
        <v>7.3</v>
      </c>
      <c r="M152" s="9">
        <v>37636</v>
      </c>
    </row>
    <row r="153" spans="1:13" ht="15" thickBot="1" x14ac:dyDescent="0.35">
      <c r="A153">
        <v>4804</v>
      </c>
      <c r="B153">
        <v>28824</v>
      </c>
      <c r="C153">
        <v>47</v>
      </c>
      <c r="D153" t="s">
        <v>9</v>
      </c>
      <c r="E153" s="2">
        <v>0.19511518179295032</v>
      </c>
      <c r="F153" s="10" t="s">
        <v>62</v>
      </c>
      <c r="G153" s="7" t="s">
        <v>40</v>
      </c>
      <c r="H153" s="8">
        <v>1662</v>
      </c>
      <c r="I153" s="8">
        <v>487</v>
      </c>
      <c r="J153" s="8">
        <f>Table43[[#This Row],[New_Followers]]-Table43[[#This Row],[Unfollows]]</f>
        <v>1175</v>
      </c>
      <c r="K153" s="8">
        <v>105980</v>
      </c>
      <c r="L153" s="8">
        <v>9.08</v>
      </c>
      <c r="M153" s="9">
        <v>22996</v>
      </c>
    </row>
    <row r="154" spans="1:13" ht="15" thickBot="1" x14ac:dyDescent="0.35">
      <c r="A154">
        <v>754</v>
      </c>
      <c r="B154">
        <v>6786</v>
      </c>
      <c r="C154">
        <v>212</v>
      </c>
      <c r="D154" t="s">
        <v>6</v>
      </c>
      <c r="E154" s="2">
        <v>0.17801355732390214</v>
      </c>
      <c r="F154" s="10" t="s">
        <v>63</v>
      </c>
      <c r="G154" s="7" t="s">
        <v>37</v>
      </c>
      <c r="H154" s="8">
        <v>1440</v>
      </c>
      <c r="I154" s="8">
        <v>65</v>
      </c>
      <c r="J154" s="8">
        <f>Table43[[#This Row],[New_Followers]]-Table43[[#This Row],[Unfollows]]</f>
        <v>1375</v>
      </c>
      <c r="K154" s="8">
        <v>126524</v>
      </c>
      <c r="L154" s="8">
        <v>4.34</v>
      </c>
      <c r="M154" s="9">
        <v>49772</v>
      </c>
    </row>
    <row r="155" spans="1:13" ht="15" thickBot="1" x14ac:dyDescent="0.35">
      <c r="A155">
        <v>985</v>
      </c>
      <c r="B155">
        <v>6895</v>
      </c>
      <c r="C155">
        <v>64</v>
      </c>
      <c r="D155" t="s">
        <v>0</v>
      </c>
      <c r="E155" s="2">
        <v>0.31965192168237855</v>
      </c>
      <c r="F155" s="10" t="s">
        <v>63</v>
      </c>
      <c r="G155" s="7" t="s">
        <v>38</v>
      </c>
      <c r="H155" s="8">
        <v>1884</v>
      </c>
      <c r="I155" s="8">
        <v>177</v>
      </c>
      <c r="J155" s="8">
        <f>Table43[[#This Row],[New_Followers]]-Table43[[#This Row],[Unfollows]]</f>
        <v>1707</v>
      </c>
      <c r="K155" s="8">
        <v>230448</v>
      </c>
      <c r="L155" s="8">
        <v>7.8</v>
      </c>
      <c r="M155" s="9">
        <v>22713</v>
      </c>
    </row>
    <row r="156" spans="1:13" ht="15" thickBot="1" x14ac:dyDescent="0.35">
      <c r="A156">
        <v>2283</v>
      </c>
      <c r="B156">
        <v>22830</v>
      </c>
      <c r="C156">
        <v>143</v>
      </c>
      <c r="D156" t="s">
        <v>6</v>
      </c>
      <c r="E156" s="2">
        <v>0.11489268506351293</v>
      </c>
      <c r="F156" s="10" t="s">
        <v>63</v>
      </c>
      <c r="G156" s="7" t="s">
        <v>39</v>
      </c>
      <c r="H156" s="8">
        <v>861</v>
      </c>
      <c r="I156" s="8">
        <v>153</v>
      </c>
      <c r="J156" s="8">
        <f>Table43[[#This Row],[New_Followers]]-Table43[[#This Row],[Unfollows]]</f>
        <v>708</v>
      </c>
      <c r="K156" s="8">
        <v>317007</v>
      </c>
      <c r="L156" s="8">
        <v>3.85</v>
      </c>
      <c r="M156" s="9">
        <v>8718</v>
      </c>
    </row>
    <row r="157" spans="1:13" ht="15" thickBot="1" x14ac:dyDescent="0.35">
      <c r="A157">
        <v>3352</v>
      </c>
      <c r="B157">
        <v>43576</v>
      </c>
      <c r="C157">
        <v>240</v>
      </c>
      <c r="D157" t="s">
        <v>6</v>
      </c>
      <c r="E157" s="2">
        <v>0.1095786671562328</v>
      </c>
      <c r="F157" s="10" t="s">
        <v>63</v>
      </c>
      <c r="G157" s="7" t="s">
        <v>40</v>
      </c>
      <c r="H157" s="8">
        <v>1063</v>
      </c>
      <c r="I157" s="8">
        <v>47</v>
      </c>
      <c r="J157" s="8">
        <f>Table43[[#This Row],[New_Followers]]-Table43[[#This Row],[Unfollows]]</f>
        <v>1016</v>
      </c>
      <c r="K157" s="8">
        <v>464239</v>
      </c>
      <c r="L157" s="8">
        <v>6.58</v>
      </c>
      <c r="M157" s="9">
        <v>39031</v>
      </c>
    </row>
    <row r="158" spans="1:13" ht="15" thickBot="1" x14ac:dyDescent="0.35">
      <c r="A158">
        <v>4775</v>
      </c>
      <c r="B158">
        <v>47750</v>
      </c>
      <c r="C158">
        <v>187</v>
      </c>
      <c r="D158" t="s">
        <v>9</v>
      </c>
      <c r="E158" s="2">
        <v>0.10793717277486911</v>
      </c>
      <c r="F158" s="6">
        <v>45719</v>
      </c>
      <c r="G158" s="7" t="s">
        <v>37</v>
      </c>
      <c r="H158" s="8">
        <v>1371</v>
      </c>
      <c r="I158" s="8">
        <v>56</v>
      </c>
      <c r="J158" s="8">
        <f>Table43[[#This Row],[New_Followers]]-Table43[[#This Row],[Unfollows]]</f>
        <v>1315</v>
      </c>
      <c r="K158" s="8">
        <v>257579</v>
      </c>
      <c r="L158" s="8">
        <v>8.6199999999999992</v>
      </c>
      <c r="M158" s="9">
        <v>33799</v>
      </c>
    </row>
    <row r="159" spans="1:13" ht="15" thickBot="1" x14ac:dyDescent="0.35">
      <c r="A159">
        <v>1762</v>
      </c>
      <c r="B159">
        <v>22906</v>
      </c>
      <c r="C159">
        <v>25</v>
      </c>
      <c r="D159" t="s">
        <v>0</v>
      </c>
      <c r="E159" s="2">
        <v>0.11307081114118571</v>
      </c>
      <c r="F159" s="6">
        <v>45719</v>
      </c>
      <c r="G159" s="7" t="s">
        <v>38</v>
      </c>
      <c r="H159" s="8">
        <v>345</v>
      </c>
      <c r="I159" s="8">
        <v>464</v>
      </c>
      <c r="J159" s="8">
        <f>Table43[[#This Row],[New_Followers]]-Table43[[#This Row],[Unfollows]]</f>
        <v>-119</v>
      </c>
      <c r="K159" s="8">
        <v>366881</v>
      </c>
      <c r="L159" s="8">
        <v>4.55</v>
      </c>
      <c r="M159" s="9">
        <v>20553</v>
      </c>
    </row>
    <row r="160" spans="1:13" ht="15" thickBot="1" x14ac:dyDescent="0.35">
      <c r="A160">
        <v>2120</v>
      </c>
      <c r="B160">
        <v>12720</v>
      </c>
      <c r="C160">
        <v>17</v>
      </c>
      <c r="D160" t="s">
        <v>0</v>
      </c>
      <c r="E160" s="2">
        <v>0.21745283018867925</v>
      </c>
      <c r="F160" s="6">
        <v>45719</v>
      </c>
      <c r="G160" s="7" t="s">
        <v>39</v>
      </c>
      <c r="H160" s="8">
        <v>946</v>
      </c>
      <c r="I160" s="8">
        <v>47</v>
      </c>
      <c r="J160" s="8">
        <f>Table43[[#This Row],[New_Followers]]-Table43[[#This Row],[Unfollows]]</f>
        <v>899</v>
      </c>
      <c r="K160" s="8">
        <v>466575</v>
      </c>
      <c r="L160" s="8">
        <v>8.33</v>
      </c>
      <c r="M160" s="9">
        <v>10002</v>
      </c>
    </row>
    <row r="161" spans="1:13" ht="15" thickBot="1" x14ac:dyDescent="0.35">
      <c r="A161">
        <v>1082</v>
      </c>
      <c r="B161">
        <v>19476</v>
      </c>
      <c r="C161">
        <v>20</v>
      </c>
      <c r="D161" t="s">
        <v>9</v>
      </c>
      <c r="E161" s="2">
        <v>9.1137810638734856E-2</v>
      </c>
      <c r="F161" s="6">
        <v>45719</v>
      </c>
      <c r="G161" s="7" t="s">
        <v>40</v>
      </c>
      <c r="H161" s="8">
        <v>510</v>
      </c>
      <c r="I161" s="8">
        <v>195</v>
      </c>
      <c r="J161" s="8">
        <f>Table43[[#This Row],[New_Followers]]-Table43[[#This Row],[Unfollows]]</f>
        <v>315</v>
      </c>
      <c r="K161" s="8">
        <v>224534</v>
      </c>
      <c r="L161" s="8">
        <v>9.4</v>
      </c>
      <c r="M161" s="9">
        <v>30987</v>
      </c>
    </row>
    <row r="162" spans="1:13" ht="15" thickBot="1" x14ac:dyDescent="0.35">
      <c r="A162">
        <v>4671</v>
      </c>
      <c r="B162">
        <v>51381</v>
      </c>
      <c r="C162">
        <v>245</v>
      </c>
      <c r="D162" t="s">
        <v>0</v>
      </c>
      <c r="E162" s="2">
        <v>0.11508145034156594</v>
      </c>
      <c r="F162" s="6">
        <v>45933</v>
      </c>
      <c r="G162" s="7" t="s">
        <v>37</v>
      </c>
      <c r="H162" s="8">
        <v>393</v>
      </c>
      <c r="I162" s="8">
        <v>181</v>
      </c>
      <c r="J162" s="8">
        <f>Table43[[#This Row],[New_Followers]]-Table43[[#This Row],[Unfollows]]</f>
        <v>212</v>
      </c>
      <c r="K162" s="8">
        <v>462142</v>
      </c>
      <c r="L162" s="8">
        <v>7.23</v>
      </c>
      <c r="M162" s="9">
        <v>6296</v>
      </c>
    </row>
    <row r="163" spans="1:13" ht="15" thickBot="1" x14ac:dyDescent="0.35">
      <c r="A163">
        <v>3430</v>
      </c>
      <c r="B163">
        <v>48020</v>
      </c>
      <c r="C163">
        <v>120</v>
      </c>
      <c r="D163" t="s">
        <v>0</v>
      </c>
      <c r="E163" s="2">
        <v>8.6630570595585168E-2</v>
      </c>
      <c r="F163" s="6">
        <v>45933</v>
      </c>
      <c r="G163" s="7" t="s">
        <v>38</v>
      </c>
      <c r="H163" s="8">
        <v>1098</v>
      </c>
      <c r="I163" s="8">
        <v>190</v>
      </c>
      <c r="J163" s="8">
        <f>Table43[[#This Row],[New_Followers]]-Table43[[#This Row],[Unfollows]]</f>
        <v>908</v>
      </c>
      <c r="K163" s="8">
        <v>340842</v>
      </c>
      <c r="L163" s="8">
        <v>9.39</v>
      </c>
      <c r="M163" s="9">
        <v>21539</v>
      </c>
    </row>
    <row r="164" spans="1:13" ht="15" thickBot="1" x14ac:dyDescent="0.35">
      <c r="A164">
        <v>4501</v>
      </c>
      <c r="B164">
        <v>22505</v>
      </c>
      <c r="C164">
        <v>132</v>
      </c>
      <c r="D164" t="s">
        <v>9</v>
      </c>
      <c r="E164" s="2">
        <v>0.23101532992668297</v>
      </c>
      <c r="F164" s="6">
        <v>45933</v>
      </c>
      <c r="G164" s="7" t="s">
        <v>39</v>
      </c>
      <c r="H164" s="8">
        <v>1399</v>
      </c>
      <c r="I164" s="8">
        <v>49</v>
      </c>
      <c r="J164" s="8">
        <f>Table43[[#This Row],[New_Followers]]-Table43[[#This Row],[Unfollows]]</f>
        <v>1350</v>
      </c>
      <c r="K164" s="8">
        <v>12471</v>
      </c>
      <c r="L164" s="8">
        <v>5.12</v>
      </c>
      <c r="M164" s="9">
        <v>14722</v>
      </c>
    </row>
    <row r="165" spans="1:13" ht="15" thickBot="1" x14ac:dyDescent="0.35">
      <c r="A165">
        <v>4934</v>
      </c>
      <c r="B165">
        <v>39472</v>
      </c>
      <c r="C165">
        <v>169</v>
      </c>
      <c r="D165" t="s">
        <v>0</v>
      </c>
      <c r="E165" s="2">
        <v>0.15355188488042157</v>
      </c>
      <c r="F165" s="6">
        <v>45933</v>
      </c>
      <c r="G165" s="7" t="s">
        <v>40</v>
      </c>
      <c r="H165" s="8">
        <v>1658</v>
      </c>
      <c r="I165" s="8">
        <v>416</v>
      </c>
      <c r="J165" s="8">
        <f>Table43[[#This Row],[New_Followers]]-Table43[[#This Row],[Unfollows]]</f>
        <v>1242</v>
      </c>
      <c r="K165" s="8">
        <v>98397</v>
      </c>
      <c r="L165" s="8">
        <v>6.11</v>
      </c>
      <c r="M165" s="9">
        <v>11383</v>
      </c>
    </row>
    <row r="166" spans="1:13" ht="15" thickBot="1" x14ac:dyDescent="0.35">
      <c r="A166">
        <v>3239</v>
      </c>
      <c r="B166">
        <v>22673</v>
      </c>
      <c r="C166">
        <v>230</v>
      </c>
      <c r="D166" t="s">
        <v>0</v>
      </c>
      <c r="E166" s="2">
        <v>0.15405989502933004</v>
      </c>
      <c r="F166" s="10" t="s">
        <v>64</v>
      </c>
      <c r="G166" s="7" t="s">
        <v>37</v>
      </c>
      <c r="H166" s="8">
        <v>1102</v>
      </c>
      <c r="I166" s="8">
        <v>422</v>
      </c>
      <c r="J166" s="8">
        <f>Table43[[#This Row],[New_Followers]]-Table43[[#This Row],[Unfollows]]</f>
        <v>680</v>
      </c>
      <c r="K166" s="8">
        <v>410330</v>
      </c>
      <c r="L166" s="8">
        <v>7.74</v>
      </c>
      <c r="M166" s="9">
        <v>9480</v>
      </c>
    </row>
    <row r="167" spans="1:13" ht="15" thickBot="1" x14ac:dyDescent="0.35">
      <c r="A167">
        <v>1076</v>
      </c>
      <c r="B167">
        <v>11836</v>
      </c>
      <c r="C167">
        <v>104</v>
      </c>
      <c r="D167" t="s">
        <v>0</v>
      </c>
      <c r="E167" s="2">
        <v>0.14320716458262928</v>
      </c>
      <c r="F167" s="10" t="s">
        <v>64</v>
      </c>
      <c r="G167" s="7" t="s">
        <v>38</v>
      </c>
      <c r="H167" s="8">
        <v>1358</v>
      </c>
      <c r="I167" s="8">
        <v>242</v>
      </c>
      <c r="J167" s="8">
        <f>Table43[[#This Row],[New_Followers]]-Table43[[#This Row],[Unfollows]]</f>
        <v>1116</v>
      </c>
      <c r="K167" s="8">
        <v>342129</v>
      </c>
      <c r="L167" s="8">
        <v>4.9400000000000004</v>
      </c>
      <c r="M167" s="9">
        <v>29116</v>
      </c>
    </row>
    <row r="168" spans="1:13" ht="15" thickBot="1" x14ac:dyDescent="0.35">
      <c r="A168">
        <v>4771</v>
      </c>
      <c r="B168">
        <v>57252</v>
      </c>
      <c r="C168">
        <v>150</v>
      </c>
      <c r="D168" t="s">
        <v>0</v>
      </c>
      <c r="E168" s="2">
        <v>9.859917557465242E-2</v>
      </c>
      <c r="F168" s="10" t="s">
        <v>64</v>
      </c>
      <c r="G168" s="7" t="s">
        <v>39</v>
      </c>
      <c r="H168" s="8">
        <v>1077</v>
      </c>
      <c r="I168" s="8">
        <v>216</v>
      </c>
      <c r="J168" s="8">
        <f>Table43[[#This Row],[New_Followers]]-Table43[[#This Row],[Unfollows]]</f>
        <v>861</v>
      </c>
      <c r="K168" s="8">
        <v>12447</v>
      </c>
      <c r="L168" s="8">
        <v>1.8</v>
      </c>
      <c r="M168" s="9">
        <v>14068</v>
      </c>
    </row>
    <row r="169" spans="1:13" ht="15" thickBot="1" x14ac:dyDescent="0.35">
      <c r="A169">
        <v>2418</v>
      </c>
      <c r="B169">
        <v>43524</v>
      </c>
      <c r="C169">
        <v>182</v>
      </c>
      <c r="D169" t="s">
        <v>9</v>
      </c>
      <c r="E169" s="2">
        <v>7.412002573292896E-2</v>
      </c>
      <c r="F169" s="10" t="s">
        <v>64</v>
      </c>
      <c r="G169" s="7" t="s">
        <v>40</v>
      </c>
      <c r="H169" s="8">
        <v>1596</v>
      </c>
      <c r="I169" s="8">
        <v>211</v>
      </c>
      <c r="J169" s="8">
        <f>Table43[[#This Row],[New_Followers]]-Table43[[#This Row],[Unfollows]]</f>
        <v>1385</v>
      </c>
      <c r="K169" s="8">
        <v>17380</v>
      </c>
      <c r="L169" s="8">
        <v>8.64</v>
      </c>
      <c r="M169" s="9">
        <v>35801</v>
      </c>
    </row>
    <row r="170" spans="1:13" ht="15" thickBot="1" x14ac:dyDescent="0.35">
      <c r="A170">
        <v>3809</v>
      </c>
      <c r="B170">
        <v>34281</v>
      </c>
      <c r="C170">
        <v>83</v>
      </c>
      <c r="D170" t="s">
        <v>6</v>
      </c>
      <c r="E170" s="2">
        <v>0.12490884163239112</v>
      </c>
      <c r="F170" s="10" t="s">
        <v>65</v>
      </c>
      <c r="G170" s="7" t="s">
        <v>37</v>
      </c>
      <c r="H170" s="8">
        <v>490</v>
      </c>
      <c r="I170" s="8">
        <v>29</v>
      </c>
      <c r="J170" s="8">
        <f>Table43[[#This Row],[New_Followers]]-Table43[[#This Row],[Unfollows]]</f>
        <v>461</v>
      </c>
      <c r="K170" s="8">
        <v>364810</v>
      </c>
      <c r="L170" s="8">
        <v>1.53</v>
      </c>
      <c r="M170" s="9">
        <v>49077</v>
      </c>
    </row>
    <row r="171" spans="1:13" ht="15" thickBot="1" x14ac:dyDescent="0.35">
      <c r="A171">
        <v>3577</v>
      </c>
      <c r="B171">
        <v>67963</v>
      </c>
      <c r="C171">
        <v>53</v>
      </c>
      <c r="D171" t="s">
        <v>9</v>
      </c>
      <c r="E171" s="2">
        <v>6.8655003457763777E-2</v>
      </c>
      <c r="F171" s="10" t="s">
        <v>65</v>
      </c>
      <c r="G171" s="7" t="s">
        <v>38</v>
      </c>
      <c r="H171" s="8">
        <v>609</v>
      </c>
      <c r="I171" s="8">
        <v>135</v>
      </c>
      <c r="J171" s="8">
        <f>Table43[[#This Row],[New_Followers]]-Table43[[#This Row],[Unfollows]]</f>
        <v>474</v>
      </c>
      <c r="K171" s="8">
        <v>373606</v>
      </c>
      <c r="L171" s="8">
        <v>8.52</v>
      </c>
      <c r="M171" s="9">
        <v>21453</v>
      </c>
    </row>
    <row r="172" spans="1:13" ht="15" thickBot="1" x14ac:dyDescent="0.35">
      <c r="A172">
        <v>1018</v>
      </c>
      <c r="B172">
        <v>18324</v>
      </c>
      <c r="C172">
        <v>38</v>
      </c>
      <c r="D172" t="s">
        <v>9</v>
      </c>
      <c r="E172" s="2">
        <v>9.8068107400130972E-2</v>
      </c>
      <c r="F172" s="10" t="s">
        <v>65</v>
      </c>
      <c r="G172" s="7" t="s">
        <v>39</v>
      </c>
      <c r="H172" s="8">
        <v>364</v>
      </c>
      <c r="I172" s="8">
        <v>72</v>
      </c>
      <c r="J172" s="8">
        <f>Table43[[#This Row],[New_Followers]]-Table43[[#This Row],[Unfollows]]</f>
        <v>292</v>
      </c>
      <c r="K172" s="8">
        <v>211090</v>
      </c>
      <c r="L172" s="8">
        <v>5.53</v>
      </c>
      <c r="M172" s="9">
        <v>21061</v>
      </c>
    </row>
    <row r="173" spans="1:13" ht="15" thickBot="1" x14ac:dyDescent="0.35">
      <c r="A173">
        <v>3073</v>
      </c>
      <c r="B173">
        <v>52241</v>
      </c>
      <c r="C173">
        <v>246</v>
      </c>
      <c r="D173" t="s">
        <v>9</v>
      </c>
      <c r="E173" s="2">
        <v>7.2739802071170159E-2</v>
      </c>
      <c r="F173" s="10" t="s">
        <v>65</v>
      </c>
      <c r="G173" s="7" t="s">
        <v>40</v>
      </c>
      <c r="H173" s="8">
        <v>442</v>
      </c>
      <c r="I173" s="8">
        <v>53</v>
      </c>
      <c r="J173" s="8">
        <f>Table43[[#This Row],[New_Followers]]-Table43[[#This Row],[Unfollows]]</f>
        <v>389</v>
      </c>
      <c r="K173" s="8">
        <v>441931</v>
      </c>
      <c r="L173" s="8">
        <v>1.87</v>
      </c>
      <c r="M173" s="9">
        <v>20059</v>
      </c>
    </row>
    <row r="174" spans="1:13" ht="15" thickBot="1" x14ac:dyDescent="0.35">
      <c r="A174">
        <v>1330</v>
      </c>
      <c r="B174">
        <v>15960</v>
      </c>
      <c r="C174">
        <v>229</v>
      </c>
      <c r="D174" t="s">
        <v>9</v>
      </c>
      <c r="E174" s="2">
        <v>0.14348370927318296</v>
      </c>
      <c r="F174" s="10" t="s">
        <v>66</v>
      </c>
      <c r="G174" s="7" t="s">
        <v>37</v>
      </c>
      <c r="H174" s="8">
        <v>1033</v>
      </c>
      <c r="I174" s="8">
        <v>392</v>
      </c>
      <c r="J174" s="8">
        <f>Table43[[#This Row],[New_Followers]]-Table43[[#This Row],[Unfollows]]</f>
        <v>641</v>
      </c>
      <c r="K174" s="8">
        <v>282780</v>
      </c>
      <c r="L174" s="8">
        <v>6.27</v>
      </c>
      <c r="M174" s="9">
        <v>23140</v>
      </c>
    </row>
    <row r="175" spans="1:13" ht="15" thickBot="1" x14ac:dyDescent="0.35">
      <c r="A175">
        <v>3828</v>
      </c>
      <c r="B175">
        <v>30624</v>
      </c>
      <c r="C175">
        <v>235</v>
      </c>
      <c r="D175" t="s">
        <v>9</v>
      </c>
      <c r="E175" s="2">
        <v>0.13809430512016718</v>
      </c>
      <c r="F175" s="10" t="s">
        <v>66</v>
      </c>
      <c r="G175" s="7" t="s">
        <v>38</v>
      </c>
      <c r="H175" s="8">
        <v>988</v>
      </c>
      <c r="I175" s="8">
        <v>474</v>
      </c>
      <c r="J175" s="8">
        <f>Table43[[#This Row],[New_Followers]]-Table43[[#This Row],[Unfollows]]</f>
        <v>514</v>
      </c>
      <c r="K175" s="8">
        <v>370070</v>
      </c>
      <c r="L175" s="8">
        <v>9.4600000000000009</v>
      </c>
      <c r="M175" s="9">
        <v>23461</v>
      </c>
    </row>
    <row r="176" spans="1:13" ht="15" thickBot="1" x14ac:dyDescent="0.35">
      <c r="A176">
        <v>142</v>
      </c>
      <c r="B176">
        <v>1704</v>
      </c>
      <c r="C176">
        <v>154</v>
      </c>
      <c r="D176" t="s">
        <v>3</v>
      </c>
      <c r="E176" s="2">
        <v>0.6508215962441315</v>
      </c>
      <c r="F176" s="10" t="s">
        <v>66</v>
      </c>
      <c r="G176" s="7" t="s">
        <v>39</v>
      </c>
      <c r="H176" s="8">
        <v>1946</v>
      </c>
      <c r="I176" s="8">
        <v>270</v>
      </c>
      <c r="J176" s="8">
        <f>Table43[[#This Row],[New_Followers]]-Table43[[#This Row],[Unfollows]]</f>
        <v>1676</v>
      </c>
      <c r="K176" s="8">
        <v>198350</v>
      </c>
      <c r="L176" s="8">
        <v>7.5</v>
      </c>
      <c r="M176" s="9">
        <v>11805</v>
      </c>
    </row>
    <row r="177" spans="1:13" ht="15" thickBot="1" x14ac:dyDescent="0.35">
      <c r="A177">
        <v>3798</v>
      </c>
      <c r="B177">
        <v>75960</v>
      </c>
      <c r="C177">
        <v>266</v>
      </c>
      <c r="D177" t="s">
        <v>0</v>
      </c>
      <c r="E177" s="2">
        <v>5.4081095313322801E-2</v>
      </c>
      <c r="F177" s="10" t="s">
        <v>66</v>
      </c>
      <c r="G177" s="7" t="s">
        <v>40</v>
      </c>
      <c r="H177" s="8">
        <v>1957</v>
      </c>
      <c r="I177" s="8">
        <v>490</v>
      </c>
      <c r="J177" s="8">
        <f>Table43[[#This Row],[New_Followers]]-Table43[[#This Row],[Unfollows]]</f>
        <v>1467</v>
      </c>
      <c r="K177" s="8">
        <v>435726</v>
      </c>
      <c r="L177" s="8">
        <v>4.7300000000000004</v>
      </c>
      <c r="M177" s="9">
        <v>15969</v>
      </c>
    </row>
    <row r="178" spans="1:13" ht="15" thickBot="1" x14ac:dyDescent="0.35">
      <c r="A178">
        <v>3099</v>
      </c>
      <c r="B178">
        <v>43386</v>
      </c>
      <c r="C178">
        <v>52</v>
      </c>
      <c r="D178" t="s">
        <v>9</v>
      </c>
      <c r="E178" s="2">
        <v>9.1365878393951966E-2</v>
      </c>
      <c r="F178" s="6">
        <v>45842</v>
      </c>
      <c r="G178" s="7" t="s">
        <v>37</v>
      </c>
      <c r="H178" s="8">
        <v>559</v>
      </c>
      <c r="I178" s="8">
        <v>392</v>
      </c>
      <c r="J178" s="8">
        <f>Table43[[#This Row],[New_Followers]]-Table43[[#This Row],[Unfollows]]</f>
        <v>167</v>
      </c>
      <c r="K178" s="8">
        <v>78789</v>
      </c>
      <c r="L178" s="8">
        <v>3.19</v>
      </c>
      <c r="M178" s="9">
        <v>2436</v>
      </c>
    </row>
    <row r="179" spans="1:13" ht="15" thickBot="1" x14ac:dyDescent="0.35">
      <c r="A179">
        <v>129</v>
      </c>
      <c r="B179">
        <v>1290</v>
      </c>
      <c r="C179">
        <v>238</v>
      </c>
      <c r="D179" t="s">
        <v>9</v>
      </c>
      <c r="E179" s="2">
        <v>0.70387596899224802</v>
      </c>
      <c r="F179" s="6">
        <v>45842</v>
      </c>
      <c r="G179" s="7" t="s">
        <v>38</v>
      </c>
      <c r="H179" s="8">
        <v>1307</v>
      </c>
      <c r="I179" s="8">
        <v>278</v>
      </c>
      <c r="J179" s="8">
        <f>Table43[[#This Row],[New_Followers]]-Table43[[#This Row],[Unfollows]]</f>
        <v>1029</v>
      </c>
      <c r="K179" s="8">
        <v>98596</v>
      </c>
      <c r="L179" s="8">
        <v>2.4900000000000002</v>
      </c>
      <c r="M179" s="9">
        <v>47603</v>
      </c>
    </row>
    <row r="180" spans="1:13" ht="15" thickBot="1" x14ac:dyDescent="0.35">
      <c r="A180">
        <v>3796</v>
      </c>
      <c r="B180">
        <v>64532</v>
      </c>
      <c r="C180">
        <v>292</v>
      </c>
      <c r="D180" t="s">
        <v>3</v>
      </c>
      <c r="E180" s="2">
        <v>7.5280481001673588E-2</v>
      </c>
      <c r="F180" s="6">
        <v>45842</v>
      </c>
      <c r="G180" s="7" t="s">
        <v>39</v>
      </c>
      <c r="H180" s="8">
        <v>1432</v>
      </c>
      <c r="I180" s="8">
        <v>425</v>
      </c>
      <c r="J180" s="8">
        <f>Table43[[#This Row],[New_Followers]]-Table43[[#This Row],[Unfollows]]</f>
        <v>1007</v>
      </c>
      <c r="K180" s="8">
        <v>29589</v>
      </c>
      <c r="L180" s="8">
        <v>4.5</v>
      </c>
      <c r="M180" s="9">
        <v>42964</v>
      </c>
    </row>
    <row r="181" spans="1:13" ht="15" thickBot="1" x14ac:dyDescent="0.35">
      <c r="A181">
        <v>3711</v>
      </c>
      <c r="B181">
        <v>48243</v>
      </c>
      <c r="C181">
        <v>11</v>
      </c>
      <c r="D181" t="s">
        <v>9</v>
      </c>
      <c r="E181" s="2">
        <v>9.023070704558174E-2</v>
      </c>
      <c r="F181" s="6">
        <v>45842</v>
      </c>
      <c r="G181" s="7" t="s">
        <v>40</v>
      </c>
      <c r="H181" s="8">
        <v>623</v>
      </c>
      <c r="I181" s="8">
        <v>414</v>
      </c>
      <c r="J181" s="8">
        <f>Table43[[#This Row],[New_Followers]]-Table43[[#This Row],[Unfollows]]</f>
        <v>209</v>
      </c>
      <c r="K181" s="8">
        <v>290354</v>
      </c>
      <c r="L181" s="8">
        <v>6.49</v>
      </c>
      <c r="M181" s="9">
        <v>39923</v>
      </c>
    </row>
    <row r="182" spans="1:13" ht="15" thickBot="1" x14ac:dyDescent="0.35">
      <c r="A182">
        <v>606</v>
      </c>
      <c r="B182">
        <v>7878</v>
      </c>
      <c r="C182">
        <v>239</v>
      </c>
      <c r="D182" t="s">
        <v>0</v>
      </c>
      <c r="E182" s="2">
        <v>0.23673521198273673</v>
      </c>
      <c r="F182" s="10" t="s">
        <v>67</v>
      </c>
      <c r="G182" s="7" t="s">
        <v>37</v>
      </c>
      <c r="H182" s="8">
        <v>198</v>
      </c>
      <c r="I182" s="8">
        <v>358</v>
      </c>
      <c r="J182" s="8">
        <f>Table43[[#This Row],[New_Followers]]-Table43[[#This Row],[Unfollows]]</f>
        <v>-160</v>
      </c>
      <c r="K182" s="8">
        <v>66682</v>
      </c>
      <c r="L182" s="8">
        <v>6.73</v>
      </c>
      <c r="M182" s="9">
        <v>2293</v>
      </c>
    </row>
    <row r="183" spans="1:13" ht="15" thickBot="1" x14ac:dyDescent="0.35">
      <c r="A183">
        <v>4689</v>
      </c>
      <c r="B183">
        <v>51579</v>
      </c>
      <c r="C183">
        <v>173</v>
      </c>
      <c r="D183" t="s">
        <v>3</v>
      </c>
      <c r="E183" s="2">
        <v>0.10132030477519921</v>
      </c>
      <c r="F183" s="10" t="s">
        <v>67</v>
      </c>
      <c r="G183" s="7" t="s">
        <v>38</v>
      </c>
      <c r="H183" s="8">
        <v>198</v>
      </c>
      <c r="I183" s="8">
        <v>373</v>
      </c>
      <c r="J183" s="8">
        <f>Table43[[#This Row],[New_Followers]]-Table43[[#This Row],[Unfollows]]</f>
        <v>-175</v>
      </c>
      <c r="K183" s="8">
        <v>70707</v>
      </c>
      <c r="L183" s="8">
        <v>4.83</v>
      </c>
      <c r="M183" s="9">
        <v>25920</v>
      </c>
    </row>
    <row r="184" spans="1:13" ht="15" thickBot="1" x14ac:dyDescent="0.35">
      <c r="A184">
        <v>360</v>
      </c>
      <c r="B184">
        <v>4680</v>
      </c>
      <c r="C184">
        <v>208</v>
      </c>
      <c r="D184" t="s">
        <v>0</v>
      </c>
      <c r="E184" s="2">
        <v>0.28696581196581195</v>
      </c>
      <c r="F184" s="10" t="s">
        <v>67</v>
      </c>
      <c r="G184" s="7" t="s">
        <v>39</v>
      </c>
      <c r="H184" s="8">
        <v>353</v>
      </c>
      <c r="I184" s="8">
        <v>300</v>
      </c>
      <c r="J184" s="8">
        <f>Table43[[#This Row],[New_Followers]]-Table43[[#This Row],[Unfollows]]</f>
        <v>53</v>
      </c>
      <c r="K184" s="8">
        <v>142507</v>
      </c>
      <c r="L184" s="8">
        <v>5.3</v>
      </c>
      <c r="M184" s="9">
        <v>11035</v>
      </c>
    </row>
    <row r="185" spans="1:13" ht="15" thickBot="1" x14ac:dyDescent="0.35">
      <c r="A185">
        <v>3215</v>
      </c>
      <c r="B185">
        <v>32150</v>
      </c>
      <c r="C185">
        <v>251</v>
      </c>
      <c r="D185" t="s">
        <v>6</v>
      </c>
      <c r="E185" s="2">
        <v>0.13614307931570763</v>
      </c>
      <c r="F185" s="10" t="s">
        <v>67</v>
      </c>
      <c r="G185" s="7" t="s">
        <v>40</v>
      </c>
      <c r="H185" s="8">
        <v>520</v>
      </c>
      <c r="I185" s="8">
        <v>375</v>
      </c>
      <c r="J185" s="8">
        <f>Table43[[#This Row],[New_Followers]]-Table43[[#This Row],[Unfollows]]</f>
        <v>145</v>
      </c>
      <c r="K185" s="8">
        <v>369525</v>
      </c>
      <c r="L185" s="8">
        <v>6.54</v>
      </c>
      <c r="M185" s="9">
        <v>20733</v>
      </c>
    </row>
    <row r="186" spans="1:13" ht="15" thickBot="1" x14ac:dyDescent="0.35">
      <c r="A186">
        <v>4523</v>
      </c>
      <c r="B186">
        <v>49753</v>
      </c>
      <c r="C186">
        <v>71</v>
      </c>
      <c r="D186" t="s">
        <v>9</v>
      </c>
      <c r="E186" s="2">
        <v>9.5290736237010829E-2</v>
      </c>
      <c r="F186" s="10" t="s">
        <v>68</v>
      </c>
      <c r="G186" s="7" t="s">
        <v>37</v>
      </c>
      <c r="H186" s="8">
        <v>961</v>
      </c>
      <c r="I186" s="8">
        <v>358</v>
      </c>
      <c r="J186" s="8">
        <f>Table43[[#This Row],[New_Followers]]-Table43[[#This Row],[Unfollows]]</f>
        <v>603</v>
      </c>
      <c r="K186" s="8">
        <v>62942</v>
      </c>
      <c r="L186" s="8">
        <v>6.8</v>
      </c>
      <c r="M186" s="9">
        <v>18693</v>
      </c>
    </row>
    <row r="187" spans="1:13" ht="15" thickBot="1" x14ac:dyDescent="0.35">
      <c r="A187">
        <v>4292</v>
      </c>
      <c r="B187">
        <v>55796</v>
      </c>
      <c r="C187">
        <v>264</v>
      </c>
      <c r="D187" t="s">
        <v>3</v>
      </c>
      <c r="E187" s="2">
        <v>8.4862714173059003E-2</v>
      </c>
      <c r="F187" s="10" t="s">
        <v>68</v>
      </c>
      <c r="G187" s="7" t="s">
        <v>38</v>
      </c>
      <c r="H187" s="8">
        <v>1375</v>
      </c>
      <c r="I187" s="8">
        <v>330</v>
      </c>
      <c r="J187" s="8">
        <f>Table43[[#This Row],[New_Followers]]-Table43[[#This Row],[Unfollows]]</f>
        <v>1045</v>
      </c>
      <c r="K187" s="8">
        <v>377382</v>
      </c>
      <c r="L187" s="8">
        <v>2.6</v>
      </c>
      <c r="M187" s="9">
        <v>7875</v>
      </c>
    </row>
    <row r="188" spans="1:13" ht="15" thickBot="1" x14ac:dyDescent="0.35">
      <c r="A188">
        <v>1644</v>
      </c>
      <c r="B188">
        <v>27948</v>
      </c>
      <c r="C188">
        <v>300</v>
      </c>
      <c r="D188" t="s">
        <v>3</v>
      </c>
      <c r="E188" s="2">
        <v>8.3726921425504502E-2</v>
      </c>
      <c r="F188" s="10" t="s">
        <v>68</v>
      </c>
      <c r="G188" s="7" t="s">
        <v>39</v>
      </c>
      <c r="H188" s="8">
        <v>1147</v>
      </c>
      <c r="I188" s="8">
        <v>388</v>
      </c>
      <c r="J188" s="8">
        <f>Table43[[#This Row],[New_Followers]]-Table43[[#This Row],[Unfollows]]</f>
        <v>759</v>
      </c>
      <c r="K188" s="8">
        <v>333851</v>
      </c>
      <c r="L188" s="8">
        <v>2.44</v>
      </c>
      <c r="M188" s="9">
        <v>8471</v>
      </c>
    </row>
    <row r="189" spans="1:13" ht="15" thickBot="1" x14ac:dyDescent="0.35">
      <c r="A189">
        <v>2728</v>
      </c>
      <c r="B189">
        <v>40920</v>
      </c>
      <c r="C189">
        <v>137</v>
      </c>
      <c r="D189" t="s">
        <v>0</v>
      </c>
      <c r="E189" s="2">
        <v>8.4946236559139784E-2</v>
      </c>
      <c r="F189" s="10" t="s">
        <v>68</v>
      </c>
      <c r="G189" s="7" t="s">
        <v>40</v>
      </c>
      <c r="H189" s="8">
        <v>1707</v>
      </c>
      <c r="I189" s="8">
        <v>74</v>
      </c>
      <c r="J189" s="8">
        <f>Table43[[#This Row],[New_Followers]]-Table43[[#This Row],[Unfollows]]</f>
        <v>1633</v>
      </c>
      <c r="K189" s="8">
        <v>270958</v>
      </c>
      <c r="L189" s="8">
        <v>3.09</v>
      </c>
      <c r="M189" s="9">
        <v>14090</v>
      </c>
    </row>
    <row r="190" spans="1:13" ht="15" thickBot="1" x14ac:dyDescent="0.35">
      <c r="A190">
        <v>3360</v>
      </c>
      <c r="B190">
        <v>60480</v>
      </c>
      <c r="C190">
        <v>192</v>
      </c>
      <c r="D190" t="s">
        <v>3</v>
      </c>
      <c r="E190" s="2">
        <v>7.2503306878306875E-2</v>
      </c>
      <c r="F190" s="10" t="s">
        <v>69</v>
      </c>
      <c r="G190" s="7" t="s">
        <v>37</v>
      </c>
      <c r="H190" s="8">
        <v>1693</v>
      </c>
      <c r="I190" s="8">
        <v>154</v>
      </c>
      <c r="J190" s="8">
        <f>Table43[[#This Row],[New_Followers]]-Table43[[#This Row],[Unfollows]]</f>
        <v>1539</v>
      </c>
      <c r="K190" s="8">
        <v>445944</v>
      </c>
      <c r="L190" s="8">
        <v>5.69</v>
      </c>
      <c r="M190" s="9">
        <v>14216</v>
      </c>
    </row>
    <row r="191" spans="1:13" ht="15" thickBot="1" x14ac:dyDescent="0.35">
      <c r="A191">
        <v>1963</v>
      </c>
      <c r="B191">
        <v>39260</v>
      </c>
      <c r="C191">
        <v>145</v>
      </c>
      <c r="D191" t="s">
        <v>3</v>
      </c>
      <c r="E191" s="2">
        <v>5.5909322465613857E-2</v>
      </c>
      <c r="F191" s="10" t="s">
        <v>69</v>
      </c>
      <c r="G191" s="7" t="s">
        <v>38</v>
      </c>
      <c r="H191" s="8">
        <v>833</v>
      </c>
      <c r="I191" s="8">
        <v>380</v>
      </c>
      <c r="J191" s="8">
        <f>Table43[[#This Row],[New_Followers]]-Table43[[#This Row],[Unfollows]]</f>
        <v>453</v>
      </c>
      <c r="K191" s="8">
        <v>224830</v>
      </c>
      <c r="L191" s="8">
        <v>3.86</v>
      </c>
      <c r="M191" s="9">
        <v>3582</v>
      </c>
    </row>
    <row r="192" spans="1:13" ht="15" thickBot="1" x14ac:dyDescent="0.35">
      <c r="A192">
        <v>4285</v>
      </c>
      <c r="B192">
        <v>55705</v>
      </c>
      <c r="C192">
        <v>51</v>
      </c>
      <c r="D192" t="s">
        <v>9</v>
      </c>
      <c r="E192" s="2">
        <v>9.9578134817341346E-2</v>
      </c>
      <c r="F192" s="10" t="s">
        <v>69</v>
      </c>
      <c r="G192" s="7" t="s">
        <v>39</v>
      </c>
      <c r="H192" s="8">
        <v>1222</v>
      </c>
      <c r="I192" s="8">
        <v>274</v>
      </c>
      <c r="J192" s="8">
        <f>Table43[[#This Row],[New_Followers]]-Table43[[#This Row],[Unfollows]]</f>
        <v>948</v>
      </c>
      <c r="K192" s="8">
        <v>487289</v>
      </c>
      <c r="L192" s="8">
        <v>3.16</v>
      </c>
      <c r="M192" s="9">
        <v>32500</v>
      </c>
    </row>
    <row r="193" spans="1:13" ht="15" thickBot="1" x14ac:dyDescent="0.35">
      <c r="A193">
        <v>1176</v>
      </c>
      <c r="B193">
        <v>14112</v>
      </c>
      <c r="C193">
        <v>272</v>
      </c>
      <c r="D193" t="s">
        <v>3</v>
      </c>
      <c r="E193" s="2">
        <v>0.1441326530612245</v>
      </c>
      <c r="F193" s="10" t="s">
        <v>69</v>
      </c>
      <c r="G193" s="7" t="s">
        <v>40</v>
      </c>
      <c r="H193" s="8">
        <v>777</v>
      </c>
      <c r="I193" s="8">
        <v>140</v>
      </c>
      <c r="J193" s="8">
        <f>Table43[[#This Row],[New_Followers]]-Table43[[#This Row],[Unfollows]]</f>
        <v>637</v>
      </c>
      <c r="K193" s="8">
        <v>11435</v>
      </c>
      <c r="L193" s="8">
        <v>1.6</v>
      </c>
      <c r="M193" s="9">
        <v>6832</v>
      </c>
    </row>
    <row r="194" spans="1:13" ht="15" thickBot="1" x14ac:dyDescent="0.35">
      <c r="A194">
        <v>4858</v>
      </c>
      <c r="B194">
        <v>53438</v>
      </c>
      <c r="C194">
        <v>223</v>
      </c>
      <c r="D194" t="s">
        <v>3</v>
      </c>
      <c r="E194" s="2">
        <v>9.9255211647142488E-2</v>
      </c>
      <c r="F194" s="6">
        <v>45782</v>
      </c>
      <c r="G194" s="7" t="s">
        <v>37</v>
      </c>
      <c r="H194" s="8">
        <v>1957</v>
      </c>
      <c r="I194" s="8">
        <v>76</v>
      </c>
      <c r="J194" s="8">
        <f>Table43[[#This Row],[New_Followers]]-Table43[[#This Row],[Unfollows]]</f>
        <v>1881</v>
      </c>
      <c r="K194" s="8">
        <v>447902</v>
      </c>
      <c r="L194" s="8">
        <v>6.09</v>
      </c>
      <c r="M194" s="9">
        <v>33381</v>
      </c>
    </row>
    <row r="195" spans="1:13" ht="15" thickBot="1" x14ac:dyDescent="0.35">
      <c r="A195">
        <v>4350</v>
      </c>
      <c r="B195">
        <v>60900</v>
      </c>
      <c r="C195">
        <v>195</v>
      </c>
      <c r="D195" t="s">
        <v>0</v>
      </c>
      <c r="E195" s="2">
        <v>8.4203612479474554E-2</v>
      </c>
      <c r="F195" s="6">
        <v>45782</v>
      </c>
      <c r="G195" s="7" t="s">
        <v>38</v>
      </c>
      <c r="H195" s="8">
        <v>405</v>
      </c>
      <c r="I195" s="8">
        <v>66</v>
      </c>
      <c r="J195" s="8">
        <f>Table43[[#This Row],[New_Followers]]-Table43[[#This Row],[Unfollows]]</f>
        <v>339</v>
      </c>
      <c r="K195" s="8">
        <v>418696</v>
      </c>
      <c r="L195" s="8">
        <v>5.59</v>
      </c>
      <c r="M195" s="9">
        <v>48419</v>
      </c>
    </row>
    <row r="196" spans="1:13" ht="15" thickBot="1" x14ac:dyDescent="0.35">
      <c r="A196">
        <v>914</v>
      </c>
      <c r="B196">
        <v>11882</v>
      </c>
      <c r="C196">
        <v>282</v>
      </c>
      <c r="D196" t="s">
        <v>6</v>
      </c>
      <c r="E196" s="2">
        <v>0.13667732704931829</v>
      </c>
      <c r="F196" s="6">
        <v>45782</v>
      </c>
      <c r="G196" s="7" t="s">
        <v>39</v>
      </c>
      <c r="H196" s="8">
        <v>1581</v>
      </c>
      <c r="I196" s="8">
        <v>71</v>
      </c>
      <c r="J196" s="8">
        <f>Table43[[#This Row],[New_Followers]]-Table43[[#This Row],[Unfollows]]</f>
        <v>1510</v>
      </c>
      <c r="K196" s="8">
        <v>484364</v>
      </c>
      <c r="L196" s="8">
        <v>3.55</v>
      </c>
      <c r="M196" s="9">
        <v>16149</v>
      </c>
    </row>
    <row r="197" spans="1:13" ht="15" thickBot="1" x14ac:dyDescent="0.35">
      <c r="A197">
        <v>1813</v>
      </c>
      <c r="B197">
        <v>19943</v>
      </c>
      <c r="C197">
        <v>85</v>
      </c>
      <c r="D197" t="s">
        <v>6</v>
      </c>
      <c r="E197" s="2">
        <v>0.12575841147269717</v>
      </c>
      <c r="F197" s="6">
        <v>45782</v>
      </c>
      <c r="G197" s="7" t="s">
        <v>40</v>
      </c>
      <c r="H197" s="8">
        <v>1035</v>
      </c>
      <c r="I197" s="8">
        <v>171</v>
      </c>
      <c r="J197" s="8">
        <f>Table43[[#This Row],[New_Followers]]-Table43[[#This Row],[Unfollows]]</f>
        <v>864</v>
      </c>
      <c r="K197" s="8">
        <v>148477</v>
      </c>
      <c r="L197" s="8">
        <v>5.21</v>
      </c>
      <c r="M197" s="9">
        <v>7541</v>
      </c>
    </row>
    <row r="198" spans="1:13" ht="15" thickBot="1" x14ac:dyDescent="0.35">
      <c r="A198">
        <v>4782</v>
      </c>
      <c r="B198">
        <v>86076</v>
      </c>
      <c r="C198">
        <v>19</v>
      </c>
      <c r="D198" t="s">
        <v>0</v>
      </c>
      <c r="E198" s="2">
        <v>6.4884520656164318E-2</v>
      </c>
      <c r="F198" s="6">
        <v>45996</v>
      </c>
      <c r="G198" s="7" t="s">
        <v>37</v>
      </c>
      <c r="H198" s="8">
        <v>1765</v>
      </c>
      <c r="I198" s="8">
        <v>109</v>
      </c>
      <c r="J198" s="8">
        <f>Table43[[#This Row],[New_Followers]]-Table43[[#This Row],[Unfollows]]</f>
        <v>1656</v>
      </c>
      <c r="K198" s="8">
        <v>468301</v>
      </c>
      <c r="L198" s="8">
        <v>1.82</v>
      </c>
      <c r="M198" s="9">
        <v>20042</v>
      </c>
    </row>
    <row r="199" spans="1:13" ht="15" thickBot="1" x14ac:dyDescent="0.35">
      <c r="A199">
        <v>1048</v>
      </c>
      <c r="B199">
        <v>9432</v>
      </c>
      <c r="C199">
        <v>158</v>
      </c>
      <c r="D199" t="s">
        <v>0</v>
      </c>
      <c r="E199" s="2">
        <v>0.19847328244274809</v>
      </c>
      <c r="F199" s="6">
        <v>45996</v>
      </c>
      <c r="G199" s="7" t="s">
        <v>38</v>
      </c>
      <c r="H199" s="8">
        <v>837</v>
      </c>
      <c r="I199" s="8">
        <v>430</v>
      </c>
      <c r="J199" s="8">
        <f>Table43[[#This Row],[New_Followers]]-Table43[[#This Row],[Unfollows]]</f>
        <v>407</v>
      </c>
      <c r="K199" s="8">
        <v>364820</v>
      </c>
      <c r="L199" s="8">
        <v>4</v>
      </c>
      <c r="M199" s="9">
        <v>49400</v>
      </c>
    </row>
    <row r="200" spans="1:13" ht="15" thickBot="1" x14ac:dyDescent="0.35">
      <c r="A200">
        <v>2509</v>
      </c>
      <c r="B200">
        <v>35126</v>
      </c>
      <c r="C200">
        <v>277</v>
      </c>
      <c r="D200" t="s">
        <v>0</v>
      </c>
      <c r="E200" s="2">
        <v>8.5520696919660646E-2</v>
      </c>
      <c r="F200" s="6">
        <v>45996</v>
      </c>
      <c r="G200" s="7" t="s">
        <v>39</v>
      </c>
      <c r="H200" s="8">
        <v>337</v>
      </c>
      <c r="I200" s="8">
        <v>68</v>
      </c>
      <c r="J200" s="8">
        <f>Table43[[#This Row],[New_Followers]]-Table43[[#This Row],[Unfollows]]</f>
        <v>269</v>
      </c>
      <c r="K200" s="8">
        <v>456298</v>
      </c>
      <c r="L200" s="8">
        <v>7.57</v>
      </c>
      <c r="M200" s="9">
        <v>4007</v>
      </c>
    </row>
    <row r="201" spans="1:13" x14ac:dyDescent="0.3">
      <c r="A201">
        <v>3718</v>
      </c>
      <c r="B201">
        <v>70642</v>
      </c>
      <c r="C201">
        <v>233</v>
      </c>
      <c r="D201" t="s">
        <v>3</v>
      </c>
      <c r="E201" s="2">
        <v>6.246991874522239E-2</v>
      </c>
      <c r="F201" s="11">
        <v>45996</v>
      </c>
      <c r="G201" s="12" t="s">
        <v>40</v>
      </c>
      <c r="H201" s="13">
        <v>119</v>
      </c>
      <c r="I201" s="13">
        <v>456</v>
      </c>
      <c r="J201" s="13">
        <f>Table43[[#This Row],[New_Followers]]-Table43[[#This Row],[Unfollows]]</f>
        <v>-337</v>
      </c>
      <c r="K201" s="13">
        <v>82558</v>
      </c>
      <c r="L201" s="13">
        <v>6.81</v>
      </c>
      <c r="M201" s="14">
        <v>12174</v>
      </c>
    </row>
    <row r="202" spans="1:13" x14ac:dyDescent="0.3">
      <c r="E202" s="2"/>
    </row>
    <row r="203" spans="1:13" x14ac:dyDescent="0.3">
      <c r="E203" s="2"/>
    </row>
    <row r="204" spans="1:13" x14ac:dyDescent="0.3">
      <c r="E204" s="2"/>
    </row>
    <row r="205" spans="1:13" x14ac:dyDescent="0.3">
      <c r="E205" s="2"/>
    </row>
    <row r="206" spans="1:13" x14ac:dyDescent="0.3">
      <c r="E206" s="2"/>
    </row>
    <row r="207" spans="1:13" x14ac:dyDescent="0.3">
      <c r="E207" s="2"/>
    </row>
    <row r="208" spans="1:13" x14ac:dyDescent="0.3">
      <c r="E208" s="2"/>
    </row>
    <row r="209" spans="5:5" x14ac:dyDescent="0.3">
      <c r="E209" s="2"/>
    </row>
    <row r="210" spans="5:5" x14ac:dyDescent="0.3">
      <c r="E210" s="2"/>
    </row>
    <row r="211" spans="5:5" x14ac:dyDescent="0.3">
      <c r="E211" s="2"/>
    </row>
    <row r="212" spans="5:5" x14ac:dyDescent="0.3">
      <c r="E212" s="2"/>
    </row>
    <row r="213" spans="5:5" x14ac:dyDescent="0.3">
      <c r="E213" s="2"/>
    </row>
    <row r="214" spans="5:5" x14ac:dyDescent="0.3">
      <c r="E214" s="2"/>
    </row>
    <row r="215" spans="5:5" x14ac:dyDescent="0.3">
      <c r="E215" s="2"/>
    </row>
    <row r="216" spans="5:5" x14ac:dyDescent="0.3">
      <c r="E216" s="2"/>
    </row>
    <row r="217" spans="5:5" x14ac:dyDescent="0.3">
      <c r="E217" s="2"/>
    </row>
    <row r="218" spans="5:5" x14ac:dyDescent="0.3">
      <c r="E218" s="2"/>
    </row>
    <row r="219" spans="5:5" x14ac:dyDescent="0.3">
      <c r="E219" s="2"/>
    </row>
    <row r="220" spans="5:5" x14ac:dyDescent="0.3">
      <c r="E220" s="2"/>
    </row>
    <row r="221" spans="5:5" x14ac:dyDescent="0.3">
      <c r="E221" s="2"/>
    </row>
    <row r="222" spans="5:5" x14ac:dyDescent="0.3">
      <c r="E222" s="2"/>
    </row>
    <row r="223" spans="5:5" x14ac:dyDescent="0.3">
      <c r="E223" s="2"/>
    </row>
    <row r="224" spans="5:5" x14ac:dyDescent="0.3">
      <c r="E224" s="2"/>
    </row>
    <row r="225" spans="5:5" x14ac:dyDescent="0.3">
      <c r="E225" s="2"/>
    </row>
    <row r="226" spans="5:5" x14ac:dyDescent="0.3">
      <c r="E226" s="2"/>
    </row>
    <row r="227" spans="5:5" x14ac:dyDescent="0.3">
      <c r="E227" s="2"/>
    </row>
    <row r="228" spans="5:5" x14ac:dyDescent="0.3">
      <c r="E228" s="2"/>
    </row>
    <row r="229" spans="5:5" x14ac:dyDescent="0.3">
      <c r="E229" s="2"/>
    </row>
    <row r="230" spans="5:5" x14ac:dyDescent="0.3">
      <c r="E230" s="2"/>
    </row>
    <row r="231" spans="5:5" x14ac:dyDescent="0.3">
      <c r="E231" s="2"/>
    </row>
    <row r="232" spans="5:5" x14ac:dyDescent="0.3">
      <c r="E232" s="2"/>
    </row>
    <row r="233" spans="5:5" x14ac:dyDescent="0.3">
      <c r="E233" s="2"/>
    </row>
    <row r="234" spans="5:5" x14ac:dyDescent="0.3">
      <c r="E234" s="2"/>
    </row>
    <row r="235" spans="5:5" x14ac:dyDescent="0.3">
      <c r="E235" s="2"/>
    </row>
    <row r="236" spans="5:5" x14ac:dyDescent="0.3">
      <c r="E236" s="2"/>
    </row>
    <row r="237" spans="5:5" x14ac:dyDescent="0.3">
      <c r="E237" s="2"/>
    </row>
    <row r="238" spans="5:5" x14ac:dyDescent="0.3">
      <c r="E238" s="2"/>
    </row>
    <row r="239" spans="5:5" x14ac:dyDescent="0.3">
      <c r="E239" s="2"/>
    </row>
    <row r="240" spans="5:5" x14ac:dyDescent="0.3">
      <c r="E240" s="2"/>
    </row>
    <row r="241" spans="5:5" x14ac:dyDescent="0.3">
      <c r="E241" s="2"/>
    </row>
    <row r="242" spans="5:5" x14ac:dyDescent="0.3">
      <c r="E242" s="2"/>
    </row>
    <row r="243" spans="5:5" x14ac:dyDescent="0.3">
      <c r="E243" s="2"/>
    </row>
    <row r="244" spans="5:5" x14ac:dyDescent="0.3">
      <c r="E244" s="2"/>
    </row>
    <row r="245" spans="5:5" x14ac:dyDescent="0.3">
      <c r="E245" s="2"/>
    </row>
    <row r="246" spans="5:5" x14ac:dyDescent="0.3">
      <c r="E246" s="2"/>
    </row>
    <row r="247" spans="5:5" x14ac:dyDescent="0.3">
      <c r="E247" s="2"/>
    </row>
    <row r="248" spans="5:5" x14ac:dyDescent="0.3">
      <c r="E248" s="2"/>
    </row>
    <row r="249" spans="5:5" x14ac:dyDescent="0.3">
      <c r="E249" s="2"/>
    </row>
    <row r="250" spans="5:5" x14ac:dyDescent="0.3">
      <c r="E250" s="2"/>
    </row>
    <row r="251" spans="5:5" x14ac:dyDescent="0.3">
      <c r="E251" s="2"/>
    </row>
    <row r="252" spans="5:5" x14ac:dyDescent="0.3">
      <c r="E252" s="2"/>
    </row>
    <row r="253" spans="5:5" x14ac:dyDescent="0.3">
      <c r="E253" s="2"/>
    </row>
    <row r="254" spans="5:5" x14ac:dyDescent="0.3">
      <c r="E254" s="2"/>
    </row>
    <row r="255" spans="5:5" x14ac:dyDescent="0.3">
      <c r="E255" s="2"/>
    </row>
    <row r="256" spans="5:5" x14ac:dyDescent="0.3">
      <c r="E256" s="2"/>
    </row>
    <row r="257" spans="5:5" x14ac:dyDescent="0.3">
      <c r="E257" s="2"/>
    </row>
    <row r="258" spans="5:5" x14ac:dyDescent="0.3">
      <c r="E258" s="2"/>
    </row>
    <row r="259" spans="5:5" x14ac:dyDescent="0.3">
      <c r="E259" s="2"/>
    </row>
    <row r="260" spans="5:5" x14ac:dyDescent="0.3">
      <c r="E260" s="2"/>
    </row>
    <row r="261" spans="5:5" x14ac:dyDescent="0.3">
      <c r="E261" s="2"/>
    </row>
    <row r="262" spans="5:5" x14ac:dyDescent="0.3">
      <c r="E262" s="2"/>
    </row>
    <row r="263" spans="5:5" x14ac:dyDescent="0.3">
      <c r="E263" s="2"/>
    </row>
    <row r="264" spans="5:5" x14ac:dyDescent="0.3">
      <c r="E264" s="2"/>
    </row>
    <row r="265" spans="5:5" x14ac:dyDescent="0.3">
      <c r="E265" s="2"/>
    </row>
    <row r="266" spans="5:5" x14ac:dyDescent="0.3">
      <c r="E266" s="2"/>
    </row>
    <row r="267" spans="5:5" x14ac:dyDescent="0.3">
      <c r="E267" s="2"/>
    </row>
    <row r="268" spans="5:5" x14ac:dyDescent="0.3">
      <c r="E268" s="2"/>
    </row>
    <row r="269" spans="5:5" x14ac:dyDescent="0.3">
      <c r="E269" s="2"/>
    </row>
    <row r="270" spans="5:5" x14ac:dyDescent="0.3">
      <c r="E270" s="2"/>
    </row>
    <row r="271" spans="5:5" x14ac:dyDescent="0.3">
      <c r="E271" s="2"/>
    </row>
    <row r="272" spans="5:5" x14ac:dyDescent="0.3">
      <c r="E272" s="2"/>
    </row>
    <row r="273" spans="5:5" x14ac:dyDescent="0.3">
      <c r="E273" s="2"/>
    </row>
    <row r="274" spans="5:5" x14ac:dyDescent="0.3">
      <c r="E274" s="2"/>
    </row>
    <row r="275" spans="5:5" x14ac:dyDescent="0.3">
      <c r="E275" s="2"/>
    </row>
    <row r="276" spans="5:5" x14ac:dyDescent="0.3">
      <c r="E276" s="2"/>
    </row>
    <row r="277" spans="5:5" x14ac:dyDescent="0.3">
      <c r="E277" s="2"/>
    </row>
    <row r="278" spans="5:5" x14ac:dyDescent="0.3">
      <c r="E278" s="2"/>
    </row>
    <row r="279" spans="5:5" x14ac:dyDescent="0.3">
      <c r="E279" s="2"/>
    </row>
    <row r="280" spans="5:5" x14ac:dyDescent="0.3">
      <c r="E280" s="2"/>
    </row>
    <row r="281" spans="5:5" x14ac:dyDescent="0.3">
      <c r="E281" s="2"/>
    </row>
    <row r="282" spans="5:5" x14ac:dyDescent="0.3">
      <c r="E282" s="2"/>
    </row>
    <row r="283" spans="5:5" x14ac:dyDescent="0.3">
      <c r="E283" s="2"/>
    </row>
    <row r="284" spans="5:5" x14ac:dyDescent="0.3">
      <c r="E284" s="2"/>
    </row>
    <row r="285" spans="5:5" x14ac:dyDescent="0.3">
      <c r="E285" s="2"/>
    </row>
    <row r="286" spans="5:5" x14ac:dyDescent="0.3">
      <c r="E286" s="2"/>
    </row>
    <row r="287" spans="5:5" x14ac:dyDescent="0.3">
      <c r="E287" s="2"/>
    </row>
    <row r="288" spans="5:5" x14ac:dyDescent="0.3">
      <c r="E288" s="2"/>
    </row>
    <row r="289" spans="5:5" x14ac:dyDescent="0.3">
      <c r="E289" s="2"/>
    </row>
    <row r="290" spans="5:5" x14ac:dyDescent="0.3">
      <c r="E290" s="2"/>
    </row>
    <row r="291" spans="5:5" x14ac:dyDescent="0.3">
      <c r="E291" s="2"/>
    </row>
    <row r="292" spans="5:5" x14ac:dyDescent="0.3">
      <c r="E292" s="2"/>
    </row>
    <row r="293" spans="5:5" x14ac:dyDescent="0.3">
      <c r="E293" s="2"/>
    </row>
    <row r="294" spans="5:5" x14ac:dyDescent="0.3">
      <c r="E294" s="2"/>
    </row>
    <row r="295" spans="5:5" x14ac:dyDescent="0.3">
      <c r="E295" s="2"/>
    </row>
    <row r="296" spans="5:5" x14ac:dyDescent="0.3">
      <c r="E296" s="2"/>
    </row>
    <row r="297" spans="5:5" x14ac:dyDescent="0.3">
      <c r="E297" s="2"/>
    </row>
    <row r="298" spans="5:5" x14ac:dyDescent="0.3">
      <c r="E298" s="2"/>
    </row>
    <row r="299" spans="5:5" x14ac:dyDescent="0.3">
      <c r="E299" s="2"/>
    </row>
    <row r="300" spans="5:5" x14ac:dyDescent="0.3">
      <c r="E300" s="2"/>
    </row>
    <row r="301" spans="5:5" x14ac:dyDescent="0.3">
      <c r="E301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47A8-EEF1-4887-9C36-633A0773F26C}">
  <dimension ref="A1:D7"/>
  <sheetViews>
    <sheetView workbookViewId="0">
      <selection activeCell="B6" sqref="B6"/>
    </sheetView>
  </sheetViews>
  <sheetFormatPr defaultRowHeight="14.4" x14ac:dyDescent="0.3"/>
  <cols>
    <col min="1" max="1" width="15.77734375" bestFit="1" customWidth="1"/>
    <col min="2" max="2" width="27.44140625" bestFit="1" customWidth="1"/>
    <col min="3" max="3" width="22" bestFit="1" customWidth="1"/>
    <col min="4" max="4" width="21.44140625" bestFit="1" customWidth="1"/>
  </cols>
  <sheetData>
    <row r="1" spans="1:4" x14ac:dyDescent="0.3">
      <c r="A1" s="3" t="s">
        <v>21</v>
      </c>
      <c r="B1" t="s">
        <v>27</v>
      </c>
      <c r="C1" t="s">
        <v>28</v>
      </c>
      <c r="D1" t="s">
        <v>29</v>
      </c>
    </row>
    <row r="2" spans="1:4" x14ac:dyDescent="0.3">
      <c r="A2" s="4" t="s">
        <v>0</v>
      </c>
      <c r="B2" s="5">
        <v>34774.602409638552</v>
      </c>
      <c r="C2" s="5">
        <v>149.10843373493975</v>
      </c>
      <c r="D2" s="5">
        <v>2733.3033333333333</v>
      </c>
    </row>
    <row r="3" spans="1:4" x14ac:dyDescent="0.3">
      <c r="A3" s="4" t="s">
        <v>3</v>
      </c>
      <c r="B3" s="5">
        <v>38727.319444444445</v>
      </c>
      <c r="C3" s="5">
        <v>155.43055555555554</v>
      </c>
      <c r="D3" s="5">
        <v>2733.3033333333333</v>
      </c>
    </row>
    <row r="4" spans="1:4" x14ac:dyDescent="0.3">
      <c r="A4" s="4" t="s">
        <v>22</v>
      </c>
      <c r="B4" s="5">
        <v>34647.176666666666</v>
      </c>
      <c r="C4" s="5">
        <v>151.22</v>
      </c>
      <c r="D4" s="5">
        <v>2733.3033333333333</v>
      </c>
    </row>
    <row r="5" spans="1:4" x14ac:dyDescent="0.3">
      <c r="A5" s="4" t="s">
        <v>6</v>
      </c>
      <c r="B5" s="5">
        <v>33482.717948717946</v>
      </c>
      <c r="C5" s="5">
        <v>159.7948717948718</v>
      </c>
      <c r="D5" s="5">
        <v>2733.3033333333333</v>
      </c>
    </row>
    <row r="6" spans="1:4" x14ac:dyDescent="0.3">
      <c r="A6" s="4" t="s">
        <v>9</v>
      </c>
      <c r="B6" s="5">
        <v>31460.328358208953</v>
      </c>
      <c r="C6" s="5">
        <v>139.32835820895522</v>
      </c>
      <c r="D6" s="5">
        <v>2733.3033333333333</v>
      </c>
    </row>
    <row r="7" spans="1:4" x14ac:dyDescent="0.3">
      <c r="A7" s="4" t="s">
        <v>22</v>
      </c>
      <c r="B7" s="5">
        <v>173092.14482767656</v>
      </c>
      <c r="C7" s="5">
        <v>754.88221929432234</v>
      </c>
      <c r="D7" s="5">
        <v>13666.516666666666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43AB-6AB9-40BA-8212-1D96FDD524A7}">
  <dimension ref="A3:D8"/>
  <sheetViews>
    <sheetView workbookViewId="0">
      <selection activeCell="B5" sqref="B5"/>
    </sheetView>
  </sheetViews>
  <sheetFormatPr defaultRowHeight="14.4" x14ac:dyDescent="0.3"/>
  <cols>
    <col min="1" max="1" width="15.77734375" bestFit="1" customWidth="1"/>
    <col min="2" max="2" width="20.77734375" bestFit="1" customWidth="1"/>
    <col min="3" max="3" width="15.33203125" bestFit="1" customWidth="1"/>
    <col min="4" max="5" width="14.77734375" bestFit="1" customWidth="1"/>
  </cols>
  <sheetData>
    <row r="3" spans="1:4" x14ac:dyDescent="0.3">
      <c r="A3" s="3" t="s">
        <v>21</v>
      </c>
      <c r="B3" t="s">
        <v>24</v>
      </c>
      <c r="C3" t="s">
        <v>25</v>
      </c>
      <c r="D3" t="s">
        <v>26</v>
      </c>
    </row>
    <row r="4" spans="1:4" x14ac:dyDescent="0.3">
      <c r="A4" s="4" t="s">
        <v>0</v>
      </c>
      <c r="B4" s="5">
        <v>34774.602409638552</v>
      </c>
      <c r="C4" s="5">
        <v>149.10843373493975</v>
      </c>
      <c r="D4" s="5">
        <v>2733.3033333333333</v>
      </c>
    </row>
    <row r="5" spans="1:4" x14ac:dyDescent="0.3">
      <c r="A5" s="4" t="s">
        <v>3</v>
      </c>
      <c r="B5" s="5">
        <v>38727.319444444445</v>
      </c>
      <c r="C5" s="5">
        <v>155.43055555555554</v>
      </c>
      <c r="D5" s="5">
        <v>2733.3033333333333</v>
      </c>
    </row>
    <row r="6" spans="1:4" x14ac:dyDescent="0.3">
      <c r="A6" s="4" t="s">
        <v>6</v>
      </c>
      <c r="B6" s="5">
        <v>33482.717948717946</v>
      </c>
      <c r="C6" s="5">
        <v>159.7948717948718</v>
      </c>
      <c r="D6" s="5">
        <v>2733.3033333333333</v>
      </c>
    </row>
    <row r="7" spans="1:4" x14ac:dyDescent="0.3">
      <c r="A7" s="4" t="s">
        <v>9</v>
      </c>
      <c r="B7" s="5">
        <v>31460.328358208953</v>
      </c>
      <c r="C7" s="5">
        <v>139.32835820895522</v>
      </c>
      <c r="D7" s="5">
        <v>2733.3033333333333</v>
      </c>
    </row>
    <row r="8" spans="1:4" x14ac:dyDescent="0.3">
      <c r="A8" s="4" t="s">
        <v>22</v>
      </c>
      <c r="B8" s="5">
        <v>34647.176666666666</v>
      </c>
      <c r="C8" s="5">
        <v>151.22</v>
      </c>
      <c r="D8" s="5">
        <v>2733.3033333333333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EFE9-E75A-445F-8B55-FD25E0CC0D70}">
  <dimension ref="A1:I8"/>
  <sheetViews>
    <sheetView workbookViewId="0">
      <selection activeCell="N9" sqref="N9"/>
    </sheetView>
  </sheetViews>
  <sheetFormatPr defaultRowHeight="14.4" x14ac:dyDescent="0.3"/>
  <cols>
    <col min="1" max="1" width="12.5546875" bestFit="1" customWidth="1"/>
    <col min="2" max="2" width="26.33203125" bestFit="1" customWidth="1"/>
    <col min="3" max="3" width="16.21875" bestFit="1" customWidth="1"/>
  </cols>
  <sheetData>
    <row r="1" spans="1:9" ht="25.8" x14ac:dyDescent="0.5">
      <c r="C1" s="18" t="s">
        <v>72</v>
      </c>
      <c r="D1" s="18"/>
      <c r="E1" s="18"/>
      <c r="F1" s="18"/>
      <c r="G1" s="18"/>
      <c r="H1" s="18"/>
      <c r="I1" s="18"/>
    </row>
    <row r="3" spans="1:9" x14ac:dyDescent="0.3">
      <c r="A3" s="3" t="s">
        <v>21</v>
      </c>
      <c r="B3" t="s">
        <v>71</v>
      </c>
      <c r="C3" t="s">
        <v>70</v>
      </c>
    </row>
    <row r="4" spans="1:9" x14ac:dyDescent="0.3">
      <c r="A4" s="4" t="s">
        <v>38</v>
      </c>
      <c r="B4">
        <v>5.6486000000000001</v>
      </c>
      <c r="C4">
        <v>1379539</v>
      </c>
    </row>
    <row r="5" spans="1:9" x14ac:dyDescent="0.3">
      <c r="A5" s="4" t="s">
        <v>37</v>
      </c>
      <c r="B5">
        <v>5.7155999999999993</v>
      </c>
      <c r="C5">
        <v>1164373</v>
      </c>
    </row>
    <row r="6" spans="1:9" x14ac:dyDescent="0.3">
      <c r="A6" s="4" t="s">
        <v>39</v>
      </c>
      <c r="B6">
        <v>5.6558000000000002</v>
      </c>
      <c r="C6">
        <v>1060357</v>
      </c>
    </row>
    <row r="7" spans="1:9" x14ac:dyDescent="0.3">
      <c r="A7" s="4" t="s">
        <v>40</v>
      </c>
      <c r="B7">
        <v>5.5587999999999997</v>
      </c>
      <c r="C7">
        <v>1228647</v>
      </c>
    </row>
    <row r="8" spans="1:9" x14ac:dyDescent="0.3">
      <c r="A8" s="4" t="s">
        <v>22</v>
      </c>
      <c r="B8">
        <v>5.6447000000000003</v>
      </c>
      <c r="C8">
        <v>4832916</v>
      </c>
    </row>
  </sheetData>
  <mergeCells count="1">
    <mergeCell ref="C1:I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1514-C5CB-4769-BC03-30B18924681E}">
  <dimension ref="A3:B8"/>
  <sheetViews>
    <sheetView workbookViewId="0">
      <selection activeCell="D7" sqref="D7"/>
    </sheetView>
  </sheetViews>
  <sheetFormatPr defaultRowHeight="14.4" x14ac:dyDescent="0.3"/>
  <cols>
    <col min="1" max="1" width="23.5546875" bestFit="1" customWidth="1"/>
    <col min="2" max="2" width="29.33203125" bestFit="1" customWidth="1"/>
    <col min="3" max="5" width="20.77734375" bestFit="1" customWidth="1"/>
  </cols>
  <sheetData>
    <row r="3" spans="1:2" ht="21" x14ac:dyDescent="0.4">
      <c r="A3" s="19" t="s">
        <v>21</v>
      </c>
      <c r="B3" s="20" t="s">
        <v>74</v>
      </c>
    </row>
    <row r="4" spans="1:2" ht="21" x14ac:dyDescent="0.4">
      <c r="A4" s="21" t="s">
        <v>0</v>
      </c>
      <c r="B4" s="22">
        <v>41475</v>
      </c>
    </row>
    <row r="5" spans="1:2" ht="21" x14ac:dyDescent="0.4">
      <c r="A5" s="21" t="s">
        <v>3</v>
      </c>
      <c r="B5" s="22">
        <v>39746</v>
      </c>
    </row>
    <row r="6" spans="1:2" ht="21" x14ac:dyDescent="0.4">
      <c r="A6" s="23" t="s">
        <v>6</v>
      </c>
      <c r="B6" s="24">
        <v>42662</v>
      </c>
    </row>
    <row r="7" spans="1:2" ht="21" x14ac:dyDescent="0.4">
      <c r="A7" s="21" t="s">
        <v>9</v>
      </c>
      <c r="B7" s="22">
        <v>36222</v>
      </c>
    </row>
    <row r="8" spans="1:2" ht="21" x14ac:dyDescent="0.4">
      <c r="A8" s="21" t="s">
        <v>22</v>
      </c>
      <c r="B8" s="22">
        <v>160105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F0F9C-2A91-449D-AB50-A8EAB69E73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Task5- Campaign Effectiveness</vt:lpstr>
      <vt:lpstr>Campaign Performance Summary</vt:lpstr>
      <vt:lpstr>Total Volume impact</vt:lpstr>
      <vt:lpstr>Average Volume impact</vt:lpstr>
      <vt:lpstr>Highest ROI.</vt:lpstr>
      <vt:lpstr>strongest follower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Gupta</dc:creator>
  <cp:lastModifiedBy>Sajal Gupta</cp:lastModifiedBy>
  <dcterms:created xsi:type="dcterms:W3CDTF">2025-12-19T10:38:59Z</dcterms:created>
  <dcterms:modified xsi:type="dcterms:W3CDTF">2025-12-22T10:50:20Z</dcterms:modified>
</cp:coreProperties>
</file>