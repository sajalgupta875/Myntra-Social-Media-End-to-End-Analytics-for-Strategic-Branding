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ownloads\Myntra-Project_ files\"/>
    </mc:Choice>
  </mc:AlternateContent>
  <xr:revisionPtr revIDLastSave="0" documentId="13_ncr:1_{8E5D232E-BC1E-45C2-845A-7C853AE75574}" xr6:coauthVersionLast="47" xr6:coauthVersionMax="47" xr10:uidLastSave="{00000000-0000-0000-0000-000000000000}"/>
  <bookViews>
    <workbookView xWindow="-108" yWindow="-108" windowWidth="23256" windowHeight="12456" firstSheet="1" activeTab="4" xr2:uid="{5ECD1032-AE5F-4AF4-95D9-2D85C12EB523}"/>
  </bookViews>
  <sheets>
    <sheet name="Sheet1" sheetId="1" r:id="rId1"/>
    <sheet name="weekly follower " sheetId="3" r:id="rId2"/>
    <sheet name="Peak week" sheetId="4" r:id="rId3"/>
    <sheet name="moving average" sheetId="5" r:id="rId4"/>
    <sheet name=" ad spend vs. follower growth " sheetId="8" r:id="rId5"/>
  </sheets>
  <definedNames>
    <definedName name="_xlchart.v1.0" hidden="1">'Peak week'!$H$5:$I$9</definedName>
    <definedName name="_xlchart.v1.1" hidden="1">'Peak week'!$J$4</definedName>
    <definedName name="_xlchart.v1.2" hidden="1">'Peak week'!$J$5:$J$9</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4" l="1"/>
  <c r="J8" i="4"/>
  <c r="J7" i="4"/>
  <c r="J6"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J9" i="4" l="1"/>
</calcChain>
</file>

<file path=xl/sharedStrings.xml><?xml version="1.0" encoding="utf-8"?>
<sst xmlns="http://schemas.openxmlformats.org/spreadsheetml/2006/main" count="452" uniqueCount="54">
  <si>
    <t>Week_Start_Date</t>
  </si>
  <si>
    <t>Platform</t>
  </si>
  <si>
    <t>New_Followers</t>
  </si>
  <si>
    <t>Unfollows</t>
  </si>
  <si>
    <t>Total_Followers</t>
  </si>
  <si>
    <t>Engagement_Rate</t>
  </si>
  <si>
    <t>Ad_Spend</t>
  </si>
  <si>
    <t>Instagram</t>
  </si>
  <si>
    <t>Facebook</t>
  </si>
  <si>
    <t>Twitter</t>
  </si>
  <si>
    <t>YouTube</t>
  </si>
  <si>
    <t>6/17/2024</t>
  </si>
  <si>
    <t>6/24/2024</t>
  </si>
  <si>
    <t>7/15/2024</t>
  </si>
  <si>
    <t>7/22/2024</t>
  </si>
  <si>
    <t>7/29/2024</t>
  </si>
  <si>
    <t>8/19/2024</t>
  </si>
  <si>
    <t>8/26/2024</t>
  </si>
  <si>
    <t>9/16/2024</t>
  </si>
  <si>
    <t>9/23/2024</t>
  </si>
  <si>
    <t>9/30/2024</t>
  </si>
  <si>
    <t>10/14/2024</t>
  </si>
  <si>
    <t>10/21/2024</t>
  </si>
  <si>
    <t>10/28/2024</t>
  </si>
  <si>
    <t>11/18/2024</t>
  </si>
  <si>
    <t>11/25/2024</t>
  </si>
  <si>
    <t>12/16/2024</t>
  </si>
  <si>
    <t>12/23/2024</t>
  </si>
  <si>
    <t>12/30/2024</t>
  </si>
  <si>
    <t>1/13/2025</t>
  </si>
  <si>
    <t>1/20/2025</t>
  </si>
  <si>
    <t>1/27/2025</t>
  </si>
  <si>
    <t>2/17/2025</t>
  </si>
  <si>
    <t>2/24/2025</t>
  </si>
  <si>
    <t>3/17/2025</t>
  </si>
  <si>
    <t>3/24/2025</t>
  </si>
  <si>
    <t>3/31/2025</t>
  </si>
  <si>
    <t>4/14/2025</t>
  </si>
  <si>
    <t>4/21/2025</t>
  </si>
  <si>
    <t>4/28/2025</t>
  </si>
  <si>
    <t>Row Labels</t>
  </si>
  <si>
    <t>Grand Total</t>
  </si>
  <si>
    <t>Column Labels</t>
  </si>
  <si>
    <t>Sum of Net_followers</t>
  </si>
  <si>
    <t>6-17-2024</t>
  </si>
  <si>
    <t>Weekly follower growth per platform</t>
  </si>
  <si>
    <t>12-30-2024</t>
  </si>
  <si>
    <t>9-30-2024</t>
  </si>
  <si>
    <t>peak week</t>
  </si>
  <si>
    <t>Follower gain</t>
  </si>
  <si>
    <t xml:space="preserve">Peak week of follower gain distribution chart </t>
  </si>
  <si>
    <t>Net_followers_Growth</t>
  </si>
  <si>
    <t>Weekly net follower growth</t>
  </si>
  <si>
    <t>Sum of Ad_Spend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</si>
</sst>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 mmmm\ yyyy;@"/>
  </numFmts>
  <fonts count="7" x14ac:knownFonts="1">
    <font>
      <sz val="11"/>
      <color theme="1"/>
      <name val="Calibri"/>
      <family val="2"/>
      <scheme val="minor"/>
    </font>
    <font>
      <b/>
      <sz val="11"/>
      <color theme="1"/>
      <name val="Calibri"/>
      <family val="2"/>
      <scheme val="minor"/>
    </font>
    <font>
      <sz val="11"/>
      <color rgb="FF000000"/>
      <name val="Calibri"/>
      <family val="2"/>
    </font>
    <font>
      <sz val="11"/>
      <color theme="0"/>
      <name val="Calibri"/>
      <family val="2"/>
    </font>
    <font>
      <sz val="8"/>
      <name val="Calibri"/>
      <family val="2"/>
      <scheme val="minor"/>
    </font>
    <font>
      <sz val="20"/>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9"/>
        <bgColor indexed="64"/>
      </patternFill>
    </fill>
  </fills>
  <borders count="11">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4" fontId="2" fillId="0" borderId="4" xfId="0" applyNumberFormat="1" applyFont="1" applyBorder="1" applyAlignment="1">
      <alignment horizontal="right" wrapText="1"/>
    </xf>
    <xf numFmtId="0" fontId="2" fillId="0" borderId="5" xfId="0" applyFont="1" applyBorder="1" applyAlignment="1">
      <alignment wrapText="1"/>
    </xf>
    <xf numFmtId="0" fontId="2" fillId="0" borderId="5" xfId="0" applyFont="1" applyBorder="1" applyAlignment="1">
      <alignment horizontal="right" wrapText="1"/>
    </xf>
    <xf numFmtId="0" fontId="2" fillId="0" borderId="6" xfId="0" applyFont="1" applyBorder="1" applyAlignment="1">
      <alignment horizontal="right" wrapText="1"/>
    </xf>
    <xf numFmtId="0" fontId="2" fillId="0" borderId="4" xfId="0" applyFont="1" applyBorder="1" applyAlignment="1">
      <alignment horizontal="right" wrapText="1"/>
    </xf>
    <xf numFmtId="14" fontId="2" fillId="0" borderId="7" xfId="0" applyNumberFormat="1" applyFont="1" applyBorder="1" applyAlignment="1">
      <alignment horizontal="right" wrapText="1"/>
    </xf>
    <xf numFmtId="0" fontId="2" fillId="0" borderId="8" xfId="0" applyFont="1" applyBorder="1" applyAlignment="1">
      <alignment wrapText="1"/>
    </xf>
    <xf numFmtId="0" fontId="2" fillId="0" borderId="8" xfId="0" applyFont="1" applyBorder="1" applyAlignment="1">
      <alignment horizontal="right" wrapText="1"/>
    </xf>
    <xf numFmtId="0" fontId="2" fillId="0" borderId="9" xfId="0" applyFont="1" applyBorder="1" applyAlignment="1">
      <alignment horizontal="right"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2" fillId="0" borderId="4" xfId="0" applyNumberFormat="1" applyFont="1" applyBorder="1" applyAlignment="1">
      <alignment horizontal="right" wrapText="1"/>
    </xf>
    <xf numFmtId="0" fontId="1" fillId="4" borderId="0" xfId="0" applyFont="1" applyFill="1"/>
    <xf numFmtId="0" fontId="1" fillId="2" borderId="10" xfId="0" applyFont="1" applyFill="1" applyBorder="1"/>
    <xf numFmtId="0" fontId="1" fillId="0" borderId="10" xfId="0" applyFont="1" applyBorder="1"/>
    <xf numFmtId="0" fontId="1" fillId="0" borderId="10" xfId="0" applyFont="1" applyBorder="1" applyAlignment="1">
      <alignment horizontal="left"/>
    </xf>
    <xf numFmtId="14" fontId="1" fillId="0" borderId="10" xfId="0" applyNumberFormat="1" applyFont="1" applyBorder="1" applyAlignment="1">
      <alignment horizontal="left"/>
    </xf>
    <xf numFmtId="0" fontId="5" fillId="3" borderId="0" xfId="0" applyFont="1" applyFill="1"/>
    <xf numFmtId="0" fontId="6" fillId="3" borderId="0" xfId="0" applyFont="1" applyFill="1" applyAlignment="1">
      <alignment horizontal="center"/>
    </xf>
  </cellXfs>
  <cellStyles count="1">
    <cellStyle name="Normal" xfId="0" builtinId="0"/>
  </cellStyles>
  <dxfs count="21">
    <dxf>
      <font>
        <b/>
      </font>
    </dxf>
    <dxf>
      <fill>
        <patternFill patternType="solid">
          <bgColor theme="9"/>
        </patternFill>
      </fill>
    </dxf>
    <dxf>
      <font>
        <b/>
      </font>
    </dxf>
    <dxf>
      <fill>
        <patternFill patternType="solid">
          <bgColor theme="9"/>
        </patternFill>
      </fill>
    </dxf>
    <dxf>
      <font>
        <b/>
      </font>
    </dxf>
    <dxf>
      <fill>
        <patternFill patternType="solid">
          <bgColor theme="9"/>
        </patternFill>
      </fill>
    </dxf>
    <dxf>
      <font>
        <b/>
      </font>
    </dxf>
    <dxf>
      <fill>
        <patternFill patternType="solid">
          <bgColor theme="9"/>
        </patternFill>
      </fill>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rgb="FF000000"/>
        <name val="Calibri"/>
        <family val="2"/>
        <scheme val="none"/>
      </font>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1"/>
        <color theme="0"/>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[TASK6.xlsx]weekly follower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s>
    <c:plotArea>
      <c:layout/>
      <c:pieChart>
        <c:varyColors val="1"/>
        <c:ser>
          <c:idx val="0"/>
          <c:order val="0"/>
          <c:tx>
            <c:strRef>
              <c:f>'weekly follower '!$B$3:$B$4</c:f>
              <c:strCache>
                <c:ptCount val="1"/>
                <c:pt idx="0">
                  <c:v>Facebook</c:v>
                </c:pt>
              </c:strCache>
            </c:strRef>
          </c:tx>
          <c:dPt>
            <c:idx val="0"/>
            <c:bubble3D val="0"/>
            <c:spPr>
              <a:solidFill>
                <a:schemeClr val="accent1"/>
              </a:solidFill>
              <a:ln>
                <a:noFill/>
              </a:ln>
              <a:effectLst/>
            </c:spPr>
            <c:extLst>
              <c:ext xmlns:c16="http://schemas.microsoft.com/office/drawing/2014/chart" uri="{C3380CC4-5D6E-409C-BE32-E72D297353CC}">
                <c16:uniqueId val="{00000001-75C8-4423-A1DA-2576F10223BE}"/>
              </c:ext>
            </c:extLst>
          </c:dPt>
          <c:dPt>
            <c:idx val="1"/>
            <c:bubble3D val="0"/>
            <c:spPr>
              <a:solidFill>
                <a:schemeClr val="accent2"/>
              </a:solidFill>
              <a:ln>
                <a:noFill/>
              </a:ln>
              <a:effectLst/>
            </c:spPr>
            <c:extLst>
              <c:ext xmlns:c16="http://schemas.microsoft.com/office/drawing/2014/chart" uri="{C3380CC4-5D6E-409C-BE32-E72D297353CC}">
                <c16:uniqueId val="{00000003-75C8-4423-A1DA-2576F10223BE}"/>
              </c:ext>
            </c:extLst>
          </c:dPt>
          <c:dPt>
            <c:idx val="2"/>
            <c:bubble3D val="0"/>
            <c:spPr>
              <a:solidFill>
                <a:schemeClr val="accent3"/>
              </a:solidFill>
              <a:ln>
                <a:noFill/>
              </a:ln>
              <a:effectLst/>
            </c:spPr>
            <c:extLst>
              <c:ext xmlns:c16="http://schemas.microsoft.com/office/drawing/2014/chart" uri="{C3380CC4-5D6E-409C-BE32-E72D297353CC}">
                <c16:uniqueId val="{00000005-75C8-4423-A1DA-2576F10223BE}"/>
              </c:ext>
            </c:extLst>
          </c:dPt>
          <c:dPt>
            <c:idx val="3"/>
            <c:bubble3D val="0"/>
            <c:spPr>
              <a:solidFill>
                <a:schemeClr val="accent4"/>
              </a:solidFill>
              <a:ln>
                <a:noFill/>
              </a:ln>
              <a:effectLst/>
            </c:spPr>
            <c:extLst>
              <c:ext xmlns:c16="http://schemas.microsoft.com/office/drawing/2014/chart" uri="{C3380CC4-5D6E-409C-BE32-E72D297353CC}">
                <c16:uniqueId val="{00000007-75C8-4423-A1DA-2576F10223BE}"/>
              </c:ext>
            </c:extLst>
          </c:dPt>
          <c:dPt>
            <c:idx val="4"/>
            <c:bubble3D val="0"/>
            <c:spPr>
              <a:solidFill>
                <a:schemeClr val="accent5"/>
              </a:solidFill>
              <a:ln>
                <a:noFill/>
              </a:ln>
              <a:effectLst/>
            </c:spPr>
            <c:extLst>
              <c:ext xmlns:c16="http://schemas.microsoft.com/office/drawing/2014/chart" uri="{C3380CC4-5D6E-409C-BE32-E72D297353CC}">
                <c16:uniqueId val="{00000009-75C8-4423-A1DA-2576F10223BE}"/>
              </c:ext>
            </c:extLst>
          </c:dPt>
          <c:dPt>
            <c:idx val="5"/>
            <c:bubble3D val="0"/>
            <c:spPr>
              <a:solidFill>
                <a:schemeClr val="accent6"/>
              </a:solidFill>
              <a:ln>
                <a:noFill/>
              </a:ln>
              <a:effectLst/>
            </c:spPr>
            <c:extLst>
              <c:ext xmlns:c16="http://schemas.microsoft.com/office/drawing/2014/chart" uri="{C3380CC4-5D6E-409C-BE32-E72D297353CC}">
                <c16:uniqueId val="{0000000B-75C8-4423-A1DA-2576F10223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5C8-4423-A1DA-2576F10223B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5C8-4423-A1DA-2576F10223B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5C8-4423-A1DA-2576F10223B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5C8-4423-A1DA-2576F10223B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5C8-4423-A1DA-2576F10223B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5C8-4423-A1DA-2576F10223B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5C8-4423-A1DA-2576F10223B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5C8-4423-A1DA-2576F10223B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5C8-4423-A1DA-2576F10223B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5C8-4423-A1DA-2576F10223B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5C8-4423-A1DA-2576F10223B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5C8-4423-A1DA-2576F10223B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5C8-4423-A1DA-2576F10223B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75C8-4423-A1DA-2576F10223BE}"/>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75C8-4423-A1DA-2576F10223BE}"/>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75C8-4423-A1DA-2576F10223BE}"/>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75C8-4423-A1DA-2576F10223BE}"/>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75C8-4423-A1DA-2576F10223BE}"/>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75C8-4423-A1DA-2576F10223BE}"/>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75C8-4423-A1DA-2576F10223BE}"/>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75C8-4423-A1DA-2576F10223BE}"/>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75C8-4423-A1DA-2576F10223BE}"/>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75C8-4423-A1DA-2576F10223BE}"/>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75C8-4423-A1DA-2576F10223BE}"/>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75C8-4423-A1DA-2576F10223BE}"/>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75C8-4423-A1DA-2576F10223BE}"/>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75C8-4423-A1DA-2576F10223BE}"/>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75C8-4423-A1DA-2576F10223BE}"/>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75C8-4423-A1DA-2576F10223BE}"/>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75C8-4423-A1DA-2576F10223BE}"/>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75C8-4423-A1DA-2576F10223BE}"/>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75C8-4423-A1DA-2576F10223BE}"/>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75C8-4423-A1DA-2576F10223BE}"/>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75C8-4423-A1DA-2576F10223BE}"/>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75C8-4423-A1DA-2576F10223BE}"/>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75C8-4423-A1DA-2576F10223BE}"/>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75C8-4423-A1DA-2576F10223BE}"/>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75C8-4423-A1DA-2576F10223BE}"/>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75C8-4423-A1DA-2576F10223BE}"/>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75C8-4423-A1DA-2576F10223BE}"/>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75C8-4423-A1DA-2576F10223BE}"/>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75C8-4423-A1DA-2576F10223BE}"/>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75C8-4423-A1DA-2576F10223BE}"/>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75C8-4423-A1DA-2576F10223BE}"/>
              </c:ext>
            </c:extLst>
          </c:dPt>
          <c:cat>
            <c:strRef>
              <c:f>'weekly follower '!$A$5:$A$55</c:f>
              <c:strCache>
                <c:ptCount val="50"/>
                <c:pt idx="0">
                  <c:v>1/13/2025</c:v>
                </c:pt>
                <c:pt idx="1">
                  <c:v>1/20/2025</c:v>
                </c:pt>
                <c:pt idx="2">
                  <c:v>1/27/2025</c:v>
                </c:pt>
                <c:pt idx="3">
                  <c:v>10/14/2024</c:v>
                </c:pt>
                <c:pt idx="4">
                  <c:v>10/21/2024</c:v>
                </c:pt>
                <c:pt idx="5">
                  <c:v>10/28/2024</c:v>
                </c:pt>
                <c:pt idx="6">
                  <c:v>11/18/2024</c:v>
                </c:pt>
                <c:pt idx="7">
                  <c:v>11/25/2024</c:v>
                </c:pt>
                <c:pt idx="8">
                  <c:v>12/16/2024</c:v>
                </c:pt>
                <c:pt idx="9">
                  <c:v>12/23/2024</c:v>
                </c:pt>
                <c:pt idx="10">
                  <c:v>12/30/2024</c:v>
                </c:pt>
                <c:pt idx="11">
                  <c:v>2/17/2025</c:v>
                </c:pt>
                <c:pt idx="12">
                  <c:v>2/24/2025</c:v>
                </c:pt>
                <c:pt idx="13">
                  <c:v>3/17/2025</c:v>
                </c:pt>
                <c:pt idx="14">
                  <c:v>3/24/2025</c:v>
                </c:pt>
                <c:pt idx="15">
                  <c:v>3/31/2025</c:v>
                </c:pt>
                <c:pt idx="16">
                  <c:v>4/14/2025</c:v>
                </c:pt>
                <c:pt idx="17">
                  <c:v>4/21/2025</c:v>
                </c:pt>
                <c:pt idx="18">
                  <c:v>4/28/2025</c:v>
                </c:pt>
                <c:pt idx="19">
                  <c:v>6/17/2024</c:v>
                </c:pt>
                <c:pt idx="20">
                  <c:v>6/24/2024</c:v>
                </c:pt>
                <c:pt idx="21">
                  <c:v>7/15/2024</c:v>
                </c:pt>
                <c:pt idx="22">
                  <c:v>7/22/2024</c:v>
                </c:pt>
                <c:pt idx="23">
                  <c:v>7/29/2024</c:v>
                </c:pt>
                <c:pt idx="24">
                  <c:v>8/19/2024</c:v>
                </c:pt>
                <c:pt idx="25">
                  <c:v>8/26/2024</c:v>
                </c:pt>
                <c:pt idx="26">
                  <c:v>9/16/2024</c:v>
                </c:pt>
                <c:pt idx="27">
                  <c:v>9/23/2024</c:v>
                </c:pt>
                <c:pt idx="28">
                  <c:v>9/30/2024</c:v>
                </c:pt>
                <c:pt idx="29">
                  <c:v>07-01-2024</c:v>
                </c:pt>
                <c:pt idx="30">
                  <c:v>09-02-2024</c:v>
                </c:pt>
                <c:pt idx="31">
                  <c:v>12-02-2024</c:v>
                </c:pt>
                <c:pt idx="32">
                  <c:v>06-03-2024</c:v>
                </c:pt>
                <c:pt idx="33">
                  <c:v>11-04-2024</c:v>
                </c:pt>
                <c:pt idx="34">
                  <c:v>08-05-2024</c:v>
                </c:pt>
                <c:pt idx="35">
                  <c:v>10-07-2024</c:v>
                </c:pt>
                <c:pt idx="36">
                  <c:v>07-08-2024</c:v>
                </c:pt>
                <c:pt idx="37">
                  <c:v>09-09-2024</c:v>
                </c:pt>
                <c:pt idx="38">
                  <c:v>12-09-2024</c:v>
                </c:pt>
                <c:pt idx="39">
                  <c:v>06-10-2024</c:v>
                </c:pt>
                <c:pt idx="40">
                  <c:v>11-11-2024</c:v>
                </c:pt>
                <c:pt idx="41">
                  <c:v>08-12-2024</c:v>
                </c:pt>
                <c:pt idx="42">
                  <c:v>02-03-2025</c:v>
                </c:pt>
                <c:pt idx="43">
                  <c:v>03-03-2025</c:v>
                </c:pt>
                <c:pt idx="44">
                  <c:v>05-05-2025</c:v>
                </c:pt>
                <c:pt idx="45">
                  <c:v>01-06-2025</c:v>
                </c:pt>
                <c:pt idx="46">
                  <c:v>04-07-2025</c:v>
                </c:pt>
                <c:pt idx="47">
                  <c:v>02-10-2025</c:v>
                </c:pt>
                <c:pt idx="48">
                  <c:v>03-10-2025</c:v>
                </c:pt>
                <c:pt idx="49">
                  <c:v>05-12-2025</c:v>
                </c:pt>
              </c:strCache>
            </c:strRef>
          </c:cat>
          <c:val>
            <c:numRef>
              <c:f>'weekly follower '!$B$5:$B$55</c:f>
              <c:numCache>
                <c:formatCode>General</c:formatCode>
                <c:ptCount val="50"/>
                <c:pt idx="0">
                  <c:v>298</c:v>
                </c:pt>
                <c:pt idx="1">
                  <c:v>427</c:v>
                </c:pt>
                <c:pt idx="2">
                  <c:v>898</c:v>
                </c:pt>
                <c:pt idx="3">
                  <c:v>285</c:v>
                </c:pt>
                <c:pt idx="4">
                  <c:v>439</c:v>
                </c:pt>
                <c:pt idx="5">
                  <c:v>386</c:v>
                </c:pt>
                <c:pt idx="6">
                  <c:v>72</c:v>
                </c:pt>
                <c:pt idx="7">
                  <c:v>1332</c:v>
                </c:pt>
                <c:pt idx="8">
                  <c:v>1377</c:v>
                </c:pt>
                <c:pt idx="9">
                  <c:v>730</c:v>
                </c:pt>
                <c:pt idx="10">
                  <c:v>1776</c:v>
                </c:pt>
                <c:pt idx="11">
                  <c:v>1590</c:v>
                </c:pt>
                <c:pt idx="12">
                  <c:v>1707</c:v>
                </c:pt>
                <c:pt idx="13">
                  <c:v>1116</c:v>
                </c:pt>
                <c:pt idx="14">
                  <c:v>474</c:v>
                </c:pt>
                <c:pt idx="15">
                  <c:v>514</c:v>
                </c:pt>
                <c:pt idx="16">
                  <c:v>-175</c:v>
                </c:pt>
                <c:pt idx="17">
                  <c:v>1045</c:v>
                </c:pt>
                <c:pt idx="18">
                  <c:v>453</c:v>
                </c:pt>
                <c:pt idx="19">
                  <c:v>1382</c:v>
                </c:pt>
                <c:pt idx="20">
                  <c:v>1670</c:v>
                </c:pt>
                <c:pt idx="21">
                  <c:v>-164</c:v>
                </c:pt>
                <c:pt idx="22">
                  <c:v>961</c:v>
                </c:pt>
                <c:pt idx="23">
                  <c:v>-318</c:v>
                </c:pt>
                <c:pt idx="24">
                  <c:v>1058</c:v>
                </c:pt>
                <c:pt idx="25">
                  <c:v>37</c:v>
                </c:pt>
                <c:pt idx="26">
                  <c:v>98</c:v>
                </c:pt>
                <c:pt idx="27">
                  <c:v>-19</c:v>
                </c:pt>
                <c:pt idx="28">
                  <c:v>-179</c:v>
                </c:pt>
                <c:pt idx="29">
                  <c:v>64</c:v>
                </c:pt>
                <c:pt idx="30">
                  <c:v>1045</c:v>
                </c:pt>
                <c:pt idx="31">
                  <c:v>1706</c:v>
                </c:pt>
                <c:pt idx="32">
                  <c:v>1002</c:v>
                </c:pt>
                <c:pt idx="33">
                  <c:v>540</c:v>
                </c:pt>
                <c:pt idx="34">
                  <c:v>-197</c:v>
                </c:pt>
                <c:pt idx="35">
                  <c:v>1662</c:v>
                </c:pt>
                <c:pt idx="36">
                  <c:v>309</c:v>
                </c:pt>
                <c:pt idx="37">
                  <c:v>1428</c:v>
                </c:pt>
                <c:pt idx="38">
                  <c:v>1373</c:v>
                </c:pt>
                <c:pt idx="39">
                  <c:v>1283</c:v>
                </c:pt>
                <c:pt idx="40">
                  <c:v>-106</c:v>
                </c:pt>
                <c:pt idx="41">
                  <c:v>1334</c:v>
                </c:pt>
                <c:pt idx="42">
                  <c:v>748</c:v>
                </c:pt>
                <c:pt idx="43">
                  <c:v>-119</c:v>
                </c:pt>
                <c:pt idx="44">
                  <c:v>339</c:v>
                </c:pt>
                <c:pt idx="45">
                  <c:v>620</c:v>
                </c:pt>
                <c:pt idx="46">
                  <c:v>1029</c:v>
                </c:pt>
                <c:pt idx="47">
                  <c:v>912</c:v>
                </c:pt>
                <c:pt idx="48">
                  <c:v>908</c:v>
                </c:pt>
                <c:pt idx="49">
                  <c:v>407</c:v>
                </c:pt>
              </c:numCache>
            </c:numRef>
          </c:val>
          <c:extLst>
            <c:ext xmlns:c16="http://schemas.microsoft.com/office/drawing/2014/chart" uri="{C3380CC4-5D6E-409C-BE32-E72D297353CC}">
              <c16:uniqueId val="{00000000-B96C-4053-8B25-A6FF8619F904}"/>
            </c:ext>
          </c:extLst>
        </c:ser>
        <c:ser>
          <c:idx val="1"/>
          <c:order val="1"/>
          <c:tx>
            <c:strRef>
              <c:f>'weekly follower '!$C$3:$C$4</c:f>
              <c:strCache>
                <c:ptCount val="1"/>
                <c:pt idx="0">
                  <c:v>Instagram</c:v>
                </c:pt>
              </c:strCache>
            </c:strRef>
          </c:tx>
          <c:dPt>
            <c:idx val="0"/>
            <c:bubble3D val="0"/>
            <c:spPr>
              <a:solidFill>
                <a:schemeClr val="accent1"/>
              </a:solidFill>
              <a:ln>
                <a:noFill/>
              </a:ln>
              <a:effectLst/>
            </c:spPr>
            <c:extLst>
              <c:ext xmlns:c16="http://schemas.microsoft.com/office/drawing/2014/chart" uri="{C3380CC4-5D6E-409C-BE32-E72D297353CC}">
                <c16:uniqueId val="{00000065-75C8-4423-A1DA-2576F10223BE}"/>
              </c:ext>
            </c:extLst>
          </c:dPt>
          <c:dPt>
            <c:idx val="1"/>
            <c:bubble3D val="0"/>
            <c:spPr>
              <a:solidFill>
                <a:schemeClr val="accent2"/>
              </a:solidFill>
              <a:ln>
                <a:noFill/>
              </a:ln>
              <a:effectLst/>
            </c:spPr>
            <c:extLst>
              <c:ext xmlns:c16="http://schemas.microsoft.com/office/drawing/2014/chart" uri="{C3380CC4-5D6E-409C-BE32-E72D297353CC}">
                <c16:uniqueId val="{00000067-75C8-4423-A1DA-2576F10223BE}"/>
              </c:ext>
            </c:extLst>
          </c:dPt>
          <c:dPt>
            <c:idx val="2"/>
            <c:bubble3D val="0"/>
            <c:spPr>
              <a:solidFill>
                <a:schemeClr val="accent3"/>
              </a:solidFill>
              <a:ln>
                <a:noFill/>
              </a:ln>
              <a:effectLst/>
            </c:spPr>
            <c:extLst>
              <c:ext xmlns:c16="http://schemas.microsoft.com/office/drawing/2014/chart" uri="{C3380CC4-5D6E-409C-BE32-E72D297353CC}">
                <c16:uniqueId val="{00000069-75C8-4423-A1DA-2576F10223BE}"/>
              </c:ext>
            </c:extLst>
          </c:dPt>
          <c:dPt>
            <c:idx val="3"/>
            <c:bubble3D val="0"/>
            <c:spPr>
              <a:solidFill>
                <a:schemeClr val="accent4"/>
              </a:solidFill>
              <a:ln>
                <a:noFill/>
              </a:ln>
              <a:effectLst/>
            </c:spPr>
            <c:extLst>
              <c:ext xmlns:c16="http://schemas.microsoft.com/office/drawing/2014/chart" uri="{C3380CC4-5D6E-409C-BE32-E72D297353CC}">
                <c16:uniqueId val="{0000006B-75C8-4423-A1DA-2576F10223BE}"/>
              </c:ext>
            </c:extLst>
          </c:dPt>
          <c:dPt>
            <c:idx val="4"/>
            <c:bubble3D val="0"/>
            <c:spPr>
              <a:solidFill>
                <a:schemeClr val="accent5"/>
              </a:solidFill>
              <a:ln>
                <a:noFill/>
              </a:ln>
              <a:effectLst/>
            </c:spPr>
            <c:extLst>
              <c:ext xmlns:c16="http://schemas.microsoft.com/office/drawing/2014/chart" uri="{C3380CC4-5D6E-409C-BE32-E72D297353CC}">
                <c16:uniqueId val="{0000006D-75C8-4423-A1DA-2576F10223BE}"/>
              </c:ext>
            </c:extLst>
          </c:dPt>
          <c:dPt>
            <c:idx val="5"/>
            <c:bubble3D val="0"/>
            <c:spPr>
              <a:solidFill>
                <a:schemeClr val="accent6"/>
              </a:solidFill>
              <a:ln>
                <a:noFill/>
              </a:ln>
              <a:effectLst/>
            </c:spPr>
            <c:extLst>
              <c:ext xmlns:c16="http://schemas.microsoft.com/office/drawing/2014/chart" uri="{C3380CC4-5D6E-409C-BE32-E72D297353CC}">
                <c16:uniqueId val="{0000006F-75C8-4423-A1DA-2576F10223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71-75C8-4423-A1DA-2576F10223B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73-75C8-4423-A1DA-2576F10223B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75-75C8-4423-A1DA-2576F10223B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77-75C8-4423-A1DA-2576F10223B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79-75C8-4423-A1DA-2576F10223B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7B-75C8-4423-A1DA-2576F10223B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7D-75C8-4423-A1DA-2576F10223B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F-75C8-4423-A1DA-2576F10223B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81-75C8-4423-A1DA-2576F10223B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83-75C8-4423-A1DA-2576F10223B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85-75C8-4423-A1DA-2576F10223B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87-75C8-4423-A1DA-2576F10223B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89-75C8-4423-A1DA-2576F10223B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8B-75C8-4423-A1DA-2576F10223BE}"/>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8D-75C8-4423-A1DA-2576F10223BE}"/>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8F-75C8-4423-A1DA-2576F10223BE}"/>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91-75C8-4423-A1DA-2576F10223BE}"/>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93-75C8-4423-A1DA-2576F10223BE}"/>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95-75C8-4423-A1DA-2576F10223BE}"/>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97-75C8-4423-A1DA-2576F10223BE}"/>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99-75C8-4423-A1DA-2576F10223BE}"/>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9B-75C8-4423-A1DA-2576F10223BE}"/>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9D-75C8-4423-A1DA-2576F10223BE}"/>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9F-75C8-4423-A1DA-2576F10223BE}"/>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A1-75C8-4423-A1DA-2576F10223BE}"/>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A3-75C8-4423-A1DA-2576F10223BE}"/>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A5-75C8-4423-A1DA-2576F10223BE}"/>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A7-75C8-4423-A1DA-2576F10223BE}"/>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A9-75C8-4423-A1DA-2576F10223BE}"/>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AB-75C8-4423-A1DA-2576F10223BE}"/>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AD-75C8-4423-A1DA-2576F10223BE}"/>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AF-75C8-4423-A1DA-2576F10223BE}"/>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B1-75C8-4423-A1DA-2576F10223BE}"/>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B3-75C8-4423-A1DA-2576F10223BE}"/>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B5-75C8-4423-A1DA-2576F10223BE}"/>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B7-75C8-4423-A1DA-2576F10223BE}"/>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B9-75C8-4423-A1DA-2576F10223BE}"/>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BB-75C8-4423-A1DA-2576F10223BE}"/>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BD-75C8-4423-A1DA-2576F10223BE}"/>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BF-75C8-4423-A1DA-2576F10223BE}"/>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C1-75C8-4423-A1DA-2576F10223BE}"/>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C3-75C8-4423-A1DA-2576F10223BE}"/>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C5-75C8-4423-A1DA-2576F10223BE}"/>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C7-75C8-4423-A1DA-2576F10223BE}"/>
              </c:ext>
            </c:extLst>
          </c:dPt>
          <c:cat>
            <c:strRef>
              <c:f>'weekly follower '!$A$5:$A$55</c:f>
              <c:strCache>
                <c:ptCount val="50"/>
                <c:pt idx="0">
                  <c:v>1/13/2025</c:v>
                </c:pt>
                <c:pt idx="1">
                  <c:v>1/20/2025</c:v>
                </c:pt>
                <c:pt idx="2">
                  <c:v>1/27/2025</c:v>
                </c:pt>
                <c:pt idx="3">
                  <c:v>10/14/2024</c:v>
                </c:pt>
                <c:pt idx="4">
                  <c:v>10/21/2024</c:v>
                </c:pt>
                <c:pt idx="5">
                  <c:v>10/28/2024</c:v>
                </c:pt>
                <c:pt idx="6">
                  <c:v>11/18/2024</c:v>
                </c:pt>
                <c:pt idx="7">
                  <c:v>11/25/2024</c:v>
                </c:pt>
                <c:pt idx="8">
                  <c:v>12/16/2024</c:v>
                </c:pt>
                <c:pt idx="9">
                  <c:v>12/23/2024</c:v>
                </c:pt>
                <c:pt idx="10">
                  <c:v>12/30/2024</c:v>
                </c:pt>
                <c:pt idx="11">
                  <c:v>2/17/2025</c:v>
                </c:pt>
                <c:pt idx="12">
                  <c:v>2/24/2025</c:v>
                </c:pt>
                <c:pt idx="13">
                  <c:v>3/17/2025</c:v>
                </c:pt>
                <c:pt idx="14">
                  <c:v>3/24/2025</c:v>
                </c:pt>
                <c:pt idx="15">
                  <c:v>3/31/2025</c:v>
                </c:pt>
                <c:pt idx="16">
                  <c:v>4/14/2025</c:v>
                </c:pt>
                <c:pt idx="17">
                  <c:v>4/21/2025</c:v>
                </c:pt>
                <c:pt idx="18">
                  <c:v>4/28/2025</c:v>
                </c:pt>
                <c:pt idx="19">
                  <c:v>6/17/2024</c:v>
                </c:pt>
                <c:pt idx="20">
                  <c:v>6/24/2024</c:v>
                </c:pt>
                <c:pt idx="21">
                  <c:v>7/15/2024</c:v>
                </c:pt>
                <c:pt idx="22">
                  <c:v>7/22/2024</c:v>
                </c:pt>
                <c:pt idx="23">
                  <c:v>7/29/2024</c:v>
                </c:pt>
                <c:pt idx="24">
                  <c:v>8/19/2024</c:v>
                </c:pt>
                <c:pt idx="25">
                  <c:v>8/26/2024</c:v>
                </c:pt>
                <c:pt idx="26">
                  <c:v>9/16/2024</c:v>
                </c:pt>
                <c:pt idx="27">
                  <c:v>9/23/2024</c:v>
                </c:pt>
                <c:pt idx="28">
                  <c:v>9/30/2024</c:v>
                </c:pt>
                <c:pt idx="29">
                  <c:v>07-01-2024</c:v>
                </c:pt>
                <c:pt idx="30">
                  <c:v>09-02-2024</c:v>
                </c:pt>
                <c:pt idx="31">
                  <c:v>12-02-2024</c:v>
                </c:pt>
                <c:pt idx="32">
                  <c:v>06-03-2024</c:v>
                </c:pt>
                <c:pt idx="33">
                  <c:v>11-04-2024</c:v>
                </c:pt>
                <c:pt idx="34">
                  <c:v>08-05-2024</c:v>
                </c:pt>
                <c:pt idx="35">
                  <c:v>10-07-2024</c:v>
                </c:pt>
                <c:pt idx="36">
                  <c:v>07-08-2024</c:v>
                </c:pt>
                <c:pt idx="37">
                  <c:v>09-09-2024</c:v>
                </c:pt>
                <c:pt idx="38">
                  <c:v>12-09-2024</c:v>
                </c:pt>
                <c:pt idx="39">
                  <c:v>06-10-2024</c:v>
                </c:pt>
                <c:pt idx="40">
                  <c:v>11-11-2024</c:v>
                </c:pt>
                <c:pt idx="41">
                  <c:v>08-12-2024</c:v>
                </c:pt>
                <c:pt idx="42">
                  <c:v>02-03-2025</c:v>
                </c:pt>
                <c:pt idx="43">
                  <c:v>03-03-2025</c:v>
                </c:pt>
                <c:pt idx="44">
                  <c:v>05-05-2025</c:v>
                </c:pt>
                <c:pt idx="45">
                  <c:v>01-06-2025</c:v>
                </c:pt>
                <c:pt idx="46">
                  <c:v>04-07-2025</c:v>
                </c:pt>
                <c:pt idx="47">
                  <c:v>02-10-2025</c:v>
                </c:pt>
                <c:pt idx="48">
                  <c:v>03-10-2025</c:v>
                </c:pt>
                <c:pt idx="49">
                  <c:v>05-12-2025</c:v>
                </c:pt>
              </c:strCache>
            </c:strRef>
          </c:cat>
          <c:val>
            <c:numRef>
              <c:f>'weekly follower '!$C$5:$C$55</c:f>
              <c:numCache>
                <c:formatCode>General</c:formatCode>
                <c:ptCount val="50"/>
                <c:pt idx="0">
                  <c:v>1722</c:v>
                </c:pt>
                <c:pt idx="1">
                  <c:v>1572</c:v>
                </c:pt>
                <c:pt idx="2">
                  <c:v>-166</c:v>
                </c:pt>
                <c:pt idx="3">
                  <c:v>1224</c:v>
                </c:pt>
                <c:pt idx="4">
                  <c:v>262</c:v>
                </c:pt>
                <c:pt idx="5">
                  <c:v>576</c:v>
                </c:pt>
                <c:pt idx="6">
                  <c:v>-49</c:v>
                </c:pt>
                <c:pt idx="7">
                  <c:v>1693</c:v>
                </c:pt>
                <c:pt idx="8">
                  <c:v>1432</c:v>
                </c:pt>
                <c:pt idx="9">
                  <c:v>684</c:v>
                </c:pt>
                <c:pt idx="10">
                  <c:v>1765</c:v>
                </c:pt>
                <c:pt idx="11">
                  <c:v>965</c:v>
                </c:pt>
                <c:pt idx="12">
                  <c:v>1375</c:v>
                </c:pt>
                <c:pt idx="13">
                  <c:v>680</c:v>
                </c:pt>
                <c:pt idx="14">
                  <c:v>461</c:v>
                </c:pt>
                <c:pt idx="15">
                  <c:v>641</c:v>
                </c:pt>
                <c:pt idx="16">
                  <c:v>-160</c:v>
                </c:pt>
                <c:pt idx="17">
                  <c:v>603</c:v>
                </c:pt>
                <c:pt idx="18">
                  <c:v>1539</c:v>
                </c:pt>
                <c:pt idx="19">
                  <c:v>893</c:v>
                </c:pt>
                <c:pt idx="20">
                  <c:v>629</c:v>
                </c:pt>
                <c:pt idx="21">
                  <c:v>1845</c:v>
                </c:pt>
                <c:pt idx="22">
                  <c:v>159</c:v>
                </c:pt>
                <c:pt idx="23">
                  <c:v>541</c:v>
                </c:pt>
                <c:pt idx="24">
                  <c:v>76</c:v>
                </c:pt>
                <c:pt idx="25">
                  <c:v>1609</c:v>
                </c:pt>
                <c:pt idx="26">
                  <c:v>377</c:v>
                </c:pt>
                <c:pt idx="27">
                  <c:v>666</c:v>
                </c:pt>
                <c:pt idx="28">
                  <c:v>1025</c:v>
                </c:pt>
                <c:pt idx="29">
                  <c:v>-219</c:v>
                </c:pt>
                <c:pt idx="30">
                  <c:v>1247</c:v>
                </c:pt>
                <c:pt idx="31">
                  <c:v>1625</c:v>
                </c:pt>
                <c:pt idx="32">
                  <c:v>1047</c:v>
                </c:pt>
                <c:pt idx="33">
                  <c:v>1397</c:v>
                </c:pt>
                <c:pt idx="34">
                  <c:v>352</c:v>
                </c:pt>
                <c:pt idx="35">
                  <c:v>1872</c:v>
                </c:pt>
                <c:pt idx="36">
                  <c:v>1672</c:v>
                </c:pt>
                <c:pt idx="37">
                  <c:v>1572</c:v>
                </c:pt>
                <c:pt idx="38">
                  <c:v>1119</c:v>
                </c:pt>
                <c:pt idx="39">
                  <c:v>517</c:v>
                </c:pt>
                <c:pt idx="40">
                  <c:v>902</c:v>
                </c:pt>
                <c:pt idx="41">
                  <c:v>1325</c:v>
                </c:pt>
                <c:pt idx="42">
                  <c:v>1080</c:v>
                </c:pt>
                <c:pt idx="43">
                  <c:v>1315</c:v>
                </c:pt>
                <c:pt idx="44">
                  <c:v>1881</c:v>
                </c:pt>
                <c:pt idx="45">
                  <c:v>903</c:v>
                </c:pt>
                <c:pt idx="46">
                  <c:v>167</c:v>
                </c:pt>
                <c:pt idx="47">
                  <c:v>1723</c:v>
                </c:pt>
                <c:pt idx="48">
                  <c:v>212</c:v>
                </c:pt>
                <c:pt idx="49">
                  <c:v>1656</c:v>
                </c:pt>
              </c:numCache>
            </c:numRef>
          </c:val>
          <c:extLst>
            <c:ext xmlns:c16="http://schemas.microsoft.com/office/drawing/2014/chart" uri="{C3380CC4-5D6E-409C-BE32-E72D297353CC}">
              <c16:uniqueId val="{00000001-B96C-4053-8B25-A6FF8619F904}"/>
            </c:ext>
          </c:extLst>
        </c:ser>
        <c:ser>
          <c:idx val="2"/>
          <c:order val="2"/>
          <c:tx>
            <c:strRef>
              <c:f>'weekly follower '!$D$3:$D$4</c:f>
              <c:strCache>
                <c:ptCount val="1"/>
                <c:pt idx="0">
                  <c:v>Twitter</c:v>
                </c:pt>
              </c:strCache>
            </c:strRef>
          </c:tx>
          <c:dPt>
            <c:idx val="0"/>
            <c:bubble3D val="0"/>
            <c:spPr>
              <a:solidFill>
                <a:schemeClr val="accent1"/>
              </a:solidFill>
              <a:ln>
                <a:noFill/>
              </a:ln>
              <a:effectLst/>
            </c:spPr>
            <c:extLst>
              <c:ext xmlns:c16="http://schemas.microsoft.com/office/drawing/2014/chart" uri="{C3380CC4-5D6E-409C-BE32-E72D297353CC}">
                <c16:uniqueId val="{000000C9-75C8-4423-A1DA-2576F10223BE}"/>
              </c:ext>
            </c:extLst>
          </c:dPt>
          <c:dPt>
            <c:idx val="1"/>
            <c:bubble3D val="0"/>
            <c:spPr>
              <a:solidFill>
                <a:schemeClr val="accent2"/>
              </a:solidFill>
              <a:ln>
                <a:noFill/>
              </a:ln>
              <a:effectLst/>
            </c:spPr>
            <c:extLst>
              <c:ext xmlns:c16="http://schemas.microsoft.com/office/drawing/2014/chart" uri="{C3380CC4-5D6E-409C-BE32-E72D297353CC}">
                <c16:uniqueId val="{000000CB-75C8-4423-A1DA-2576F10223BE}"/>
              </c:ext>
            </c:extLst>
          </c:dPt>
          <c:dPt>
            <c:idx val="2"/>
            <c:bubble3D val="0"/>
            <c:spPr>
              <a:solidFill>
                <a:schemeClr val="accent3"/>
              </a:solidFill>
              <a:ln>
                <a:noFill/>
              </a:ln>
              <a:effectLst/>
            </c:spPr>
            <c:extLst>
              <c:ext xmlns:c16="http://schemas.microsoft.com/office/drawing/2014/chart" uri="{C3380CC4-5D6E-409C-BE32-E72D297353CC}">
                <c16:uniqueId val="{000000CD-75C8-4423-A1DA-2576F10223BE}"/>
              </c:ext>
            </c:extLst>
          </c:dPt>
          <c:dPt>
            <c:idx val="3"/>
            <c:bubble3D val="0"/>
            <c:spPr>
              <a:solidFill>
                <a:schemeClr val="accent4"/>
              </a:solidFill>
              <a:ln>
                <a:noFill/>
              </a:ln>
              <a:effectLst/>
            </c:spPr>
            <c:extLst>
              <c:ext xmlns:c16="http://schemas.microsoft.com/office/drawing/2014/chart" uri="{C3380CC4-5D6E-409C-BE32-E72D297353CC}">
                <c16:uniqueId val="{000000CF-75C8-4423-A1DA-2576F10223BE}"/>
              </c:ext>
            </c:extLst>
          </c:dPt>
          <c:dPt>
            <c:idx val="4"/>
            <c:bubble3D val="0"/>
            <c:spPr>
              <a:solidFill>
                <a:schemeClr val="accent5"/>
              </a:solidFill>
              <a:ln>
                <a:noFill/>
              </a:ln>
              <a:effectLst/>
            </c:spPr>
            <c:extLst>
              <c:ext xmlns:c16="http://schemas.microsoft.com/office/drawing/2014/chart" uri="{C3380CC4-5D6E-409C-BE32-E72D297353CC}">
                <c16:uniqueId val="{000000D1-75C8-4423-A1DA-2576F10223BE}"/>
              </c:ext>
            </c:extLst>
          </c:dPt>
          <c:dPt>
            <c:idx val="5"/>
            <c:bubble3D val="0"/>
            <c:spPr>
              <a:solidFill>
                <a:schemeClr val="accent6"/>
              </a:solidFill>
              <a:ln>
                <a:noFill/>
              </a:ln>
              <a:effectLst/>
            </c:spPr>
            <c:extLst>
              <c:ext xmlns:c16="http://schemas.microsoft.com/office/drawing/2014/chart" uri="{C3380CC4-5D6E-409C-BE32-E72D297353CC}">
                <c16:uniqueId val="{000000D3-75C8-4423-A1DA-2576F10223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D5-75C8-4423-A1DA-2576F10223B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D7-75C8-4423-A1DA-2576F10223B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D9-75C8-4423-A1DA-2576F10223B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DB-75C8-4423-A1DA-2576F10223B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DD-75C8-4423-A1DA-2576F10223B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DF-75C8-4423-A1DA-2576F10223B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E1-75C8-4423-A1DA-2576F10223B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E3-75C8-4423-A1DA-2576F10223B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E5-75C8-4423-A1DA-2576F10223B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E7-75C8-4423-A1DA-2576F10223B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E9-75C8-4423-A1DA-2576F10223B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EB-75C8-4423-A1DA-2576F10223B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ED-75C8-4423-A1DA-2576F10223B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EF-75C8-4423-A1DA-2576F10223BE}"/>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F1-75C8-4423-A1DA-2576F10223BE}"/>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F3-75C8-4423-A1DA-2576F10223BE}"/>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F5-75C8-4423-A1DA-2576F10223BE}"/>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F7-75C8-4423-A1DA-2576F10223BE}"/>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F9-75C8-4423-A1DA-2576F10223BE}"/>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FB-75C8-4423-A1DA-2576F10223BE}"/>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FD-75C8-4423-A1DA-2576F10223BE}"/>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FF-75C8-4423-A1DA-2576F10223BE}"/>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101-75C8-4423-A1DA-2576F10223BE}"/>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103-75C8-4423-A1DA-2576F10223BE}"/>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105-75C8-4423-A1DA-2576F10223BE}"/>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107-75C8-4423-A1DA-2576F10223BE}"/>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109-75C8-4423-A1DA-2576F10223BE}"/>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10B-75C8-4423-A1DA-2576F10223BE}"/>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10D-75C8-4423-A1DA-2576F10223BE}"/>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10F-75C8-4423-A1DA-2576F10223BE}"/>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111-75C8-4423-A1DA-2576F10223BE}"/>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113-75C8-4423-A1DA-2576F10223BE}"/>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115-75C8-4423-A1DA-2576F10223BE}"/>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117-75C8-4423-A1DA-2576F10223BE}"/>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119-75C8-4423-A1DA-2576F10223BE}"/>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11B-75C8-4423-A1DA-2576F10223BE}"/>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11D-75C8-4423-A1DA-2576F10223BE}"/>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11F-75C8-4423-A1DA-2576F10223BE}"/>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121-75C8-4423-A1DA-2576F10223BE}"/>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123-75C8-4423-A1DA-2576F10223BE}"/>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125-75C8-4423-A1DA-2576F10223BE}"/>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127-75C8-4423-A1DA-2576F10223BE}"/>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129-75C8-4423-A1DA-2576F10223BE}"/>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12B-75C8-4423-A1DA-2576F10223BE}"/>
              </c:ext>
            </c:extLst>
          </c:dPt>
          <c:cat>
            <c:strRef>
              <c:f>'weekly follower '!$A$5:$A$55</c:f>
              <c:strCache>
                <c:ptCount val="50"/>
                <c:pt idx="0">
                  <c:v>1/13/2025</c:v>
                </c:pt>
                <c:pt idx="1">
                  <c:v>1/20/2025</c:v>
                </c:pt>
                <c:pt idx="2">
                  <c:v>1/27/2025</c:v>
                </c:pt>
                <c:pt idx="3">
                  <c:v>10/14/2024</c:v>
                </c:pt>
                <c:pt idx="4">
                  <c:v>10/21/2024</c:v>
                </c:pt>
                <c:pt idx="5">
                  <c:v>10/28/2024</c:v>
                </c:pt>
                <c:pt idx="6">
                  <c:v>11/18/2024</c:v>
                </c:pt>
                <c:pt idx="7">
                  <c:v>11/25/2024</c:v>
                </c:pt>
                <c:pt idx="8">
                  <c:v>12/16/2024</c:v>
                </c:pt>
                <c:pt idx="9">
                  <c:v>12/23/2024</c:v>
                </c:pt>
                <c:pt idx="10">
                  <c:v>12/30/2024</c:v>
                </c:pt>
                <c:pt idx="11">
                  <c:v>2/17/2025</c:v>
                </c:pt>
                <c:pt idx="12">
                  <c:v>2/24/2025</c:v>
                </c:pt>
                <c:pt idx="13">
                  <c:v>3/17/2025</c:v>
                </c:pt>
                <c:pt idx="14">
                  <c:v>3/24/2025</c:v>
                </c:pt>
                <c:pt idx="15">
                  <c:v>3/31/2025</c:v>
                </c:pt>
                <c:pt idx="16">
                  <c:v>4/14/2025</c:v>
                </c:pt>
                <c:pt idx="17">
                  <c:v>4/21/2025</c:v>
                </c:pt>
                <c:pt idx="18">
                  <c:v>4/28/2025</c:v>
                </c:pt>
                <c:pt idx="19">
                  <c:v>6/17/2024</c:v>
                </c:pt>
                <c:pt idx="20">
                  <c:v>6/24/2024</c:v>
                </c:pt>
                <c:pt idx="21">
                  <c:v>7/15/2024</c:v>
                </c:pt>
                <c:pt idx="22">
                  <c:v>7/22/2024</c:v>
                </c:pt>
                <c:pt idx="23">
                  <c:v>7/29/2024</c:v>
                </c:pt>
                <c:pt idx="24">
                  <c:v>8/19/2024</c:v>
                </c:pt>
                <c:pt idx="25">
                  <c:v>8/26/2024</c:v>
                </c:pt>
                <c:pt idx="26">
                  <c:v>9/16/2024</c:v>
                </c:pt>
                <c:pt idx="27">
                  <c:v>9/23/2024</c:v>
                </c:pt>
                <c:pt idx="28">
                  <c:v>9/30/2024</c:v>
                </c:pt>
                <c:pt idx="29">
                  <c:v>07-01-2024</c:v>
                </c:pt>
                <c:pt idx="30">
                  <c:v>09-02-2024</c:v>
                </c:pt>
                <c:pt idx="31">
                  <c:v>12-02-2024</c:v>
                </c:pt>
                <c:pt idx="32">
                  <c:v>06-03-2024</c:v>
                </c:pt>
                <c:pt idx="33">
                  <c:v>11-04-2024</c:v>
                </c:pt>
                <c:pt idx="34">
                  <c:v>08-05-2024</c:v>
                </c:pt>
                <c:pt idx="35">
                  <c:v>10-07-2024</c:v>
                </c:pt>
                <c:pt idx="36">
                  <c:v>07-08-2024</c:v>
                </c:pt>
                <c:pt idx="37">
                  <c:v>09-09-2024</c:v>
                </c:pt>
                <c:pt idx="38">
                  <c:v>12-09-2024</c:v>
                </c:pt>
                <c:pt idx="39">
                  <c:v>06-10-2024</c:v>
                </c:pt>
                <c:pt idx="40">
                  <c:v>11-11-2024</c:v>
                </c:pt>
                <c:pt idx="41">
                  <c:v>08-12-2024</c:v>
                </c:pt>
                <c:pt idx="42">
                  <c:v>02-03-2025</c:v>
                </c:pt>
                <c:pt idx="43">
                  <c:v>03-03-2025</c:v>
                </c:pt>
                <c:pt idx="44">
                  <c:v>05-05-2025</c:v>
                </c:pt>
                <c:pt idx="45">
                  <c:v>01-06-2025</c:v>
                </c:pt>
                <c:pt idx="46">
                  <c:v>04-07-2025</c:v>
                </c:pt>
                <c:pt idx="47">
                  <c:v>02-10-2025</c:v>
                </c:pt>
                <c:pt idx="48">
                  <c:v>03-10-2025</c:v>
                </c:pt>
                <c:pt idx="49">
                  <c:v>05-12-2025</c:v>
                </c:pt>
              </c:strCache>
            </c:strRef>
          </c:cat>
          <c:val>
            <c:numRef>
              <c:f>'weekly follower '!$D$5:$D$55</c:f>
              <c:numCache>
                <c:formatCode>General</c:formatCode>
                <c:ptCount val="50"/>
                <c:pt idx="0">
                  <c:v>-144</c:v>
                </c:pt>
                <c:pt idx="1">
                  <c:v>891</c:v>
                </c:pt>
                <c:pt idx="2">
                  <c:v>1426</c:v>
                </c:pt>
                <c:pt idx="3">
                  <c:v>-20</c:v>
                </c:pt>
                <c:pt idx="4">
                  <c:v>636</c:v>
                </c:pt>
                <c:pt idx="5">
                  <c:v>37</c:v>
                </c:pt>
                <c:pt idx="6">
                  <c:v>445</c:v>
                </c:pt>
                <c:pt idx="7">
                  <c:v>98</c:v>
                </c:pt>
                <c:pt idx="8">
                  <c:v>1359</c:v>
                </c:pt>
                <c:pt idx="9">
                  <c:v>911</c:v>
                </c:pt>
                <c:pt idx="10">
                  <c:v>1529</c:v>
                </c:pt>
                <c:pt idx="11">
                  <c:v>-37</c:v>
                </c:pt>
                <c:pt idx="12">
                  <c:v>708</c:v>
                </c:pt>
                <c:pt idx="13">
                  <c:v>861</c:v>
                </c:pt>
                <c:pt idx="14">
                  <c:v>292</c:v>
                </c:pt>
                <c:pt idx="15">
                  <c:v>1676</c:v>
                </c:pt>
                <c:pt idx="16">
                  <c:v>53</c:v>
                </c:pt>
                <c:pt idx="17">
                  <c:v>759</c:v>
                </c:pt>
                <c:pt idx="18">
                  <c:v>948</c:v>
                </c:pt>
                <c:pt idx="19">
                  <c:v>1295</c:v>
                </c:pt>
                <c:pt idx="20">
                  <c:v>835</c:v>
                </c:pt>
                <c:pt idx="21">
                  <c:v>429</c:v>
                </c:pt>
                <c:pt idx="22">
                  <c:v>1316</c:v>
                </c:pt>
                <c:pt idx="23">
                  <c:v>1495</c:v>
                </c:pt>
                <c:pt idx="24">
                  <c:v>1665</c:v>
                </c:pt>
                <c:pt idx="25">
                  <c:v>1229</c:v>
                </c:pt>
                <c:pt idx="26">
                  <c:v>1125</c:v>
                </c:pt>
                <c:pt idx="27">
                  <c:v>1680</c:v>
                </c:pt>
                <c:pt idx="28">
                  <c:v>599</c:v>
                </c:pt>
                <c:pt idx="29">
                  <c:v>1357</c:v>
                </c:pt>
                <c:pt idx="30">
                  <c:v>197</c:v>
                </c:pt>
                <c:pt idx="31">
                  <c:v>1173</c:v>
                </c:pt>
                <c:pt idx="32">
                  <c:v>415</c:v>
                </c:pt>
                <c:pt idx="33">
                  <c:v>1603</c:v>
                </c:pt>
                <c:pt idx="34">
                  <c:v>328</c:v>
                </c:pt>
                <c:pt idx="35">
                  <c:v>107</c:v>
                </c:pt>
                <c:pt idx="36">
                  <c:v>547</c:v>
                </c:pt>
                <c:pt idx="37">
                  <c:v>260</c:v>
                </c:pt>
                <c:pt idx="38">
                  <c:v>1727</c:v>
                </c:pt>
                <c:pt idx="39">
                  <c:v>186</c:v>
                </c:pt>
                <c:pt idx="40">
                  <c:v>1150</c:v>
                </c:pt>
                <c:pt idx="41">
                  <c:v>37</c:v>
                </c:pt>
                <c:pt idx="42">
                  <c:v>569</c:v>
                </c:pt>
                <c:pt idx="43">
                  <c:v>899</c:v>
                </c:pt>
                <c:pt idx="44">
                  <c:v>1510</c:v>
                </c:pt>
                <c:pt idx="45">
                  <c:v>1188</c:v>
                </c:pt>
                <c:pt idx="46">
                  <c:v>1007</c:v>
                </c:pt>
                <c:pt idx="47">
                  <c:v>1202</c:v>
                </c:pt>
                <c:pt idx="48">
                  <c:v>1350</c:v>
                </c:pt>
                <c:pt idx="49">
                  <c:v>269</c:v>
                </c:pt>
              </c:numCache>
            </c:numRef>
          </c:val>
          <c:extLst>
            <c:ext xmlns:c16="http://schemas.microsoft.com/office/drawing/2014/chart" uri="{C3380CC4-5D6E-409C-BE32-E72D297353CC}">
              <c16:uniqueId val="{00000002-B96C-4053-8B25-A6FF8619F904}"/>
            </c:ext>
          </c:extLst>
        </c:ser>
        <c:ser>
          <c:idx val="3"/>
          <c:order val="3"/>
          <c:tx>
            <c:strRef>
              <c:f>'weekly follower '!$E$3:$E$4</c:f>
              <c:strCache>
                <c:ptCount val="1"/>
                <c:pt idx="0">
                  <c:v>YouTube</c:v>
                </c:pt>
              </c:strCache>
            </c:strRef>
          </c:tx>
          <c:dPt>
            <c:idx val="0"/>
            <c:bubble3D val="0"/>
            <c:spPr>
              <a:solidFill>
                <a:schemeClr val="accent1"/>
              </a:solidFill>
              <a:ln>
                <a:noFill/>
              </a:ln>
              <a:effectLst/>
            </c:spPr>
            <c:extLst>
              <c:ext xmlns:c16="http://schemas.microsoft.com/office/drawing/2014/chart" uri="{C3380CC4-5D6E-409C-BE32-E72D297353CC}">
                <c16:uniqueId val="{0000012D-75C8-4423-A1DA-2576F10223BE}"/>
              </c:ext>
            </c:extLst>
          </c:dPt>
          <c:dPt>
            <c:idx val="1"/>
            <c:bubble3D val="0"/>
            <c:spPr>
              <a:solidFill>
                <a:schemeClr val="accent2"/>
              </a:solidFill>
              <a:ln>
                <a:noFill/>
              </a:ln>
              <a:effectLst/>
            </c:spPr>
            <c:extLst>
              <c:ext xmlns:c16="http://schemas.microsoft.com/office/drawing/2014/chart" uri="{C3380CC4-5D6E-409C-BE32-E72D297353CC}">
                <c16:uniqueId val="{0000012F-75C8-4423-A1DA-2576F10223BE}"/>
              </c:ext>
            </c:extLst>
          </c:dPt>
          <c:dPt>
            <c:idx val="2"/>
            <c:bubble3D val="0"/>
            <c:spPr>
              <a:solidFill>
                <a:schemeClr val="accent3"/>
              </a:solidFill>
              <a:ln>
                <a:noFill/>
              </a:ln>
              <a:effectLst/>
            </c:spPr>
            <c:extLst>
              <c:ext xmlns:c16="http://schemas.microsoft.com/office/drawing/2014/chart" uri="{C3380CC4-5D6E-409C-BE32-E72D297353CC}">
                <c16:uniqueId val="{00000131-75C8-4423-A1DA-2576F10223BE}"/>
              </c:ext>
            </c:extLst>
          </c:dPt>
          <c:dPt>
            <c:idx val="3"/>
            <c:bubble3D val="0"/>
            <c:spPr>
              <a:solidFill>
                <a:schemeClr val="accent4"/>
              </a:solidFill>
              <a:ln>
                <a:noFill/>
              </a:ln>
              <a:effectLst/>
            </c:spPr>
            <c:extLst>
              <c:ext xmlns:c16="http://schemas.microsoft.com/office/drawing/2014/chart" uri="{C3380CC4-5D6E-409C-BE32-E72D297353CC}">
                <c16:uniqueId val="{00000133-75C8-4423-A1DA-2576F10223BE}"/>
              </c:ext>
            </c:extLst>
          </c:dPt>
          <c:dPt>
            <c:idx val="4"/>
            <c:bubble3D val="0"/>
            <c:spPr>
              <a:solidFill>
                <a:schemeClr val="accent5"/>
              </a:solidFill>
              <a:ln>
                <a:noFill/>
              </a:ln>
              <a:effectLst/>
            </c:spPr>
            <c:extLst>
              <c:ext xmlns:c16="http://schemas.microsoft.com/office/drawing/2014/chart" uri="{C3380CC4-5D6E-409C-BE32-E72D297353CC}">
                <c16:uniqueId val="{00000135-75C8-4423-A1DA-2576F10223BE}"/>
              </c:ext>
            </c:extLst>
          </c:dPt>
          <c:dPt>
            <c:idx val="5"/>
            <c:bubble3D val="0"/>
            <c:spPr>
              <a:solidFill>
                <a:schemeClr val="accent6"/>
              </a:solidFill>
              <a:ln>
                <a:noFill/>
              </a:ln>
              <a:effectLst/>
            </c:spPr>
            <c:extLst>
              <c:ext xmlns:c16="http://schemas.microsoft.com/office/drawing/2014/chart" uri="{C3380CC4-5D6E-409C-BE32-E72D297353CC}">
                <c16:uniqueId val="{00000137-75C8-4423-A1DA-2576F10223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39-75C8-4423-A1DA-2576F10223B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3B-75C8-4423-A1DA-2576F10223B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3D-75C8-4423-A1DA-2576F10223B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3F-75C8-4423-A1DA-2576F10223B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41-75C8-4423-A1DA-2576F10223B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43-75C8-4423-A1DA-2576F10223B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45-75C8-4423-A1DA-2576F10223B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47-75C8-4423-A1DA-2576F10223B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49-75C8-4423-A1DA-2576F10223B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4B-75C8-4423-A1DA-2576F10223BE}"/>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4D-75C8-4423-A1DA-2576F10223BE}"/>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4F-75C8-4423-A1DA-2576F10223BE}"/>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51-75C8-4423-A1DA-2576F10223BE}"/>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53-75C8-4423-A1DA-2576F10223BE}"/>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55-75C8-4423-A1DA-2576F10223BE}"/>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157-75C8-4423-A1DA-2576F10223BE}"/>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159-75C8-4423-A1DA-2576F10223BE}"/>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15B-75C8-4423-A1DA-2576F10223BE}"/>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15D-75C8-4423-A1DA-2576F10223BE}"/>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15F-75C8-4423-A1DA-2576F10223BE}"/>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161-75C8-4423-A1DA-2576F10223BE}"/>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163-75C8-4423-A1DA-2576F10223BE}"/>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165-75C8-4423-A1DA-2576F10223BE}"/>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167-75C8-4423-A1DA-2576F10223BE}"/>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169-75C8-4423-A1DA-2576F10223BE}"/>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16B-75C8-4423-A1DA-2576F10223BE}"/>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16D-75C8-4423-A1DA-2576F10223BE}"/>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16F-75C8-4423-A1DA-2576F10223BE}"/>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171-75C8-4423-A1DA-2576F10223BE}"/>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173-75C8-4423-A1DA-2576F10223BE}"/>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175-75C8-4423-A1DA-2576F10223BE}"/>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177-75C8-4423-A1DA-2576F10223BE}"/>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179-75C8-4423-A1DA-2576F10223BE}"/>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17B-75C8-4423-A1DA-2576F10223BE}"/>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17D-75C8-4423-A1DA-2576F10223BE}"/>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17F-75C8-4423-A1DA-2576F10223BE}"/>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181-75C8-4423-A1DA-2576F10223BE}"/>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183-75C8-4423-A1DA-2576F10223BE}"/>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185-75C8-4423-A1DA-2576F10223BE}"/>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187-75C8-4423-A1DA-2576F10223BE}"/>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189-75C8-4423-A1DA-2576F10223BE}"/>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18B-75C8-4423-A1DA-2576F10223BE}"/>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18D-75C8-4423-A1DA-2576F10223BE}"/>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18F-75C8-4423-A1DA-2576F10223BE}"/>
              </c:ext>
            </c:extLst>
          </c:dPt>
          <c:cat>
            <c:strRef>
              <c:f>'weekly follower '!$A$5:$A$55</c:f>
              <c:strCache>
                <c:ptCount val="50"/>
                <c:pt idx="0">
                  <c:v>1/13/2025</c:v>
                </c:pt>
                <c:pt idx="1">
                  <c:v>1/20/2025</c:v>
                </c:pt>
                <c:pt idx="2">
                  <c:v>1/27/2025</c:v>
                </c:pt>
                <c:pt idx="3">
                  <c:v>10/14/2024</c:v>
                </c:pt>
                <c:pt idx="4">
                  <c:v>10/21/2024</c:v>
                </c:pt>
                <c:pt idx="5">
                  <c:v>10/28/2024</c:v>
                </c:pt>
                <c:pt idx="6">
                  <c:v>11/18/2024</c:v>
                </c:pt>
                <c:pt idx="7">
                  <c:v>11/25/2024</c:v>
                </c:pt>
                <c:pt idx="8">
                  <c:v>12/16/2024</c:v>
                </c:pt>
                <c:pt idx="9">
                  <c:v>12/23/2024</c:v>
                </c:pt>
                <c:pt idx="10">
                  <c:v>12/30/2024</c:v>
                </c:pt>
                <c:pt idx="11">
                  <c:v>2/17/2025</c:v>
                </c:pt>
                <c:pt idx="12">
                  <c:v>2/24/2025</c:v>
                </c:pt>
                <c:pt idx="13">
                  <c:v>3/17/2025</c:v>
                </c:pt>
                <c:pt idx="14">
                  <c:v>3/24/2025</c:v>
                </c:pt>
                <c:pt idx="15">
                  <c:v>3/31/2025</c:v>
                </c:pt>
                <c:pt idx="16">
                  <c:v>4/14/2025</c:v>
                </c:pt>
                <c:pt idx="17">
                  <c:v>4/21/2025</c:v>
                </c:pt>
                <c:pt idx="18">
                  <c:v>4/28/2025</c:v>
                </c:pt>
                <c:pt idx="19">
                  <c:v>6/17/2024</c:v>
                </c:pt>
                <c:pt idx="20">
                  <c:v>6/24/2024</c:v>
                </c:pt>
                <c:pt idx="21">
                  <c:v>7/15/2024</c:v>
                </c:pt>
                <c:pt idx="22">
                  <c:v>7/22/2024</c:v>
                </c:pt>
                <c:pt idx="23">
                  <c:v>7/29/2024</c:v>
                </c:pt>
                <c:pt idx="24">
                  <c:v>8/19/2024</c:v>
                </c:pt>
                <c:pt idx="25">
                  <c:v>8/26/2024</c:v>
                </c:pt>
                <c:pt idx="26">
                  <c:v>9/16/2024</c:v>
                </c:pt>
                <c:pt idx="27">
                  <c:v>9/23/2024</c:v>
                </c:pt>
                <c:pt idx="28">
                  <c:v>9/30/2024</c:v>
                </c:pt>
                <c:pt idx="29">
                  <c:v>07-01-2024</c:v>
                </c:pt>
                <c:pt idx="30">
                  <c:v>09-02-2024</c:v>
                </c:pt>
                <c:pt idx="31">
                  <c:v>12-02-2024</c:v>
                </c:pt>
                <c:pt idx="32">
                  <c:v>06-03-2024</c:v>
                </c:pt>
                <c:pt idx="33">
                  <c:v>11-04-2024</c:v>
                </c:pt>
                <c:pt idx="34">
                  <c:v>08-05-2024</c:v>
                </c:pt>
                <c:pt idx="35">
                  <c:v>10-07-2024</c:v>
                </c:pt>
                <c:pt idx="36">
                  <c:v>07-08-2024</c:v>
                </c:pt>
                <c:pt idx="37">
                  <c:v>09-09-2024</c:v>
                </c:pt>
                <c:pt idx="38">
                  <c:v>12-09-2024</c:v>
                </c:pt>
                <c:pt idx="39">
                  <c:v>06-10-2024</c:v>
                </c:pt>
                <c:pt idx="40">
                  <c:v>11-11-2024</c:v>
                </c:pt>
                <c:pt idx="41">
                  <c:v>08-12-2024</c:v>
                </c:pt>
                <c:pt idx="42">
                  <c:v>02-03-2025</c:v>
                </c:pt>
                <c:pt idx="43">
                  <c:v>03-03-2025</c:v>
                </c:pt>
                <c:pt idx="44">
                  <c:v>05-05-2025</c:v>
                </c:pt>
                <c:pt idx="45">
                  <c:v>01-06-2025</c:v>
                </c:pt>
                <c:pt idx="46">
                  <c:v>04-07-2025</c:v>
                </c:pt>
                <c:pt idx="47">
                  <c:v>02-10-2025</c:v>
                </c:pt>
                <c:pt idx="48">
                  <c:v>03-10-2025</c:v>
                </c:pt>
                <c:pt idx="49">
                  <c:v>05-12-2025</c:v>
                </c:pt>
              </c:strCache>
            </c:strRef>
          </c:cat>
          <c:val>
            <c:numRef>
              <c:f>'weekly follower '!$E$5:$E$55</c:f>
              <c:numCache>
                <c:formatCode>General</c:formatCode>
                <c:ptCount val="50"/>
                <c:pt idx="0">
                  <c:v>901</c:v>
                </c:pt>
                <c:pt idx="1">
                  <c:v>724</c:v>
                </c:pt>
                <c:pt idx="2">
                  <c:v>1225</c:v>
                </c:pt>
                <c:pt idx="3">
                  <c:v>367</c:v>
                </c:pt>
                <c:pt idx="4">
                  <c:v>1484</c:v>
                </c:pt>
                <c:pt idx="5">
                  <c:v>1657</c:v>
                </c:pt>
                <c:pt idx="6">
                  <c:v>60</c:v>
                </c:pt>
                <c:pt idx="7">
                  <c:v>885</c:v>
                </c:pt>
                <c:pt idx="8">
                  <c:v>876</c:v>
                </c:pt>
                <c:pt idx="9">
                  <c:v>1589</c:v>
                </c:pt>
                <c:pt idx="10">
                  <c:v>1460</c:v>
                </c:pt>
                <c:pt idx="11">
                  <c:v>1175</c:v>
                </c:pt>
                <c:pt idx="12">
                  <c:v>1016</c:v>
                </c:pt>
                <c:pt idx="13">
                  <c:v>1385</c:v>
                </c:pt>
                <c:pt idx="14">
                  <c:v>389</c:v>
                </c:pt>
                <c:pt idx="15">
                  <c:v>1467</c:v>
                </c:pt>
                <c:pt idx="16">
                  <c:v>145</c:v>
                </c:pt>
                <c:pt idx="17">
                  <c:v>1633</c:v>
                </c:pt>
                <c:pt idx="18">
                  <c:v>637</c:v>
                </c:pt>
                <c:pt idx="19">
                  <c:v>337</c:v>
                </c:pt>
                <c:pt idx="20">
                  <c:v>-123</c:v>
                </c:pt>
                <c:pt idx="21">
                  <c:v>160</c:v>
                </c:pt>
                <c:pt idx="22">
                  <c:v>317</c:v>
                </c:pt>
                <c:pt idx="23">
                  <c:v>475</c:v>
                </c:pt>
                <c:pt idx="24">
                  <c:v>190</c:v>
                </c:pt>
                <c:pt idx="25">
                  <c:v>28</c:v>
                </c:pt>
                <c:pt idx="26">
                  <c:v>-32</c:v>
                </c:pt>
                <c:pt idx="27">
                  <c:v>1006</c:v>
                </c:pt>
                <c:pt idx="28">
                  <c:v>1706</c:v>
                </c:pt>
                <c:pt idx="29">
                  <c:v>91</c:v>
                </c:pt>
                <c:pt idx="30">
                  <c:v>333</c:v>
                </c:pt>
                <c:pt idx="31">
                  <c:v>291</c:v>
                </c:pt>
                <c:pt idx="32">
                  <c:v>1090</c:v>
                </c:pt>
                <c:pt idx="33">
                  <c:v>1044</c:v>
                </c:pt>
                <c:pt idx="34">
                  <c:v>319</c:v>
                </c:pt>
                <c:pt idx="35">
                  <c:v>118</c:v>
                </c:pt>
                <c:pt idx="36">
                  <c:v>514</c:v>
                </c:pt>
                <c:pt idx="37">
                  <c:v>1100</c:v>
                </c:pt>
                <c:pt idx="38">
                  <c:v>573</c:v>
                </c:pt>
                <c:pt idx="39">
                  <c:v>994</c:v>
                </c:pt>
                <c:pt idx="40">
                  <c:v>349</c:v>
                </c:pt>
                <c:pt idx="41">
                  <c:v>1032</c:v>
                </c:pt>
                <c:pt idx="42">
                  <c:v>-203</c:v>
                </c:pt>
                <c:pt idx="43">
                  <c:v>315</c:v>
                </c:pt>
                <c:pt idx="44">
                  <c:v>864</c:v>
                </c:pt>
                <c:pt idx="45">
                  <c:v>846</c:v>
                </c:pt>
                <c:pt idx="46">
                  <c:v>209</c:v>
                </c:pt>
                <c:pt idx="47">
                  <c:v>1444</c:v>
                </c:pt>
                <c:pt idx="48">
                  <c:v>1242</c:v>
                </c:pt>
                <c:pt idx="49">
                  <c:v>-337</c:v>
                </c:pt>
              </c:numCache>
            </c:numRef>
          </c:val>
          <c:extLst>
            <c:ext xmlns:c16="http://schemas.microsoft.com/office/drawing/2014/chart" uri="{C3380CC4-5D6E-409C-BE32-E72D297353CC}">
              <c16:uniqueId val="{00000003-B96C-4053-8B25-A6FF8619F9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[TASK6.xlsx]moving average!PivotTable7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'moving average'!$B$3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'moving average'!$A$4:$A$54</c:f>
              <c:strCache>
                <c:ptCount val="50"/>
                <c:pt idx="0">
                  <c:v>1/13/2025</c:v>
                </c:pt>
                <c:pt idx="1">
                  <c:v>1/20/2025</c:v>
                </c:pt>
                <c:pt idx="2">
                  <c:v>1/27/2025</c:v>
                </c:pt>
                <c:pt idx="3">
                  <c:v>10/14/2024</c:v>
                </c:pt>
                <c:pt idx="4">
                  <c:v>10/21/2024</c:v>
                </c:pt>
                <c:pt idx="5">
                  <c:v>10/28/2024</c:v>
                </c:pt>
                <c:pt idx="6">
                  <c:v>11/18/2024</c:v>
                </c:pt>
                <c:pt idx="7">
                  <c:v>11/25/2024</c:v>
                </c:pt>
                <c:pt idx="8">
                  <c:v>12/16/2024</c:v>
                </c:pt>
                <c:pt idx="9">
                  <c:v>12/23/2024</c:v>
                </c:pt>
                <c:pt idx="10">
                  <c:v>12/30/2024</c:v>
                </c:pt>
                <c:pt idx="11">
                  <c:v>2/17/2025</c:v>
                </c:pt>
                <c:pt idx="12">
                  <c:v>2/24/2025</c:v>
                </c:pt>
                <c:pt idx="13">
                  <c:v>3/17/2025</c:v>
                </c:pt>
                <c:pt idx="14">
                  <c:v>3/24/2025</c:v>
                </c:pt>
                <c:pt idx="15">
                  <c:v>3/31/2025</c:v>
                </c:pt>
                <c:pt idx="16">
                  <c:v>4/14/2025</c:v>
                </c:pt>
                <c:pt idx="17">
                  <c:v>4/21/2025</c:v>
                </c:pt>
                <c:pt idx="18">
                  <c:v>4/28/2025</c:v>
                </c:pt>
                <c:pt idx="19">
                  <c:v>6/17/2024</c:v>
                </c:pt>
                <c:pt idx="20">
                  <c:v>6/24/2024</c:v>
                </c:pt>
                <c:pt idx="21">
                  <c:v>7/15/2024</c:v>
                </c:pt>
                <c:pt idx="22">
                  <c:v>7/22/2024</c:v>
                </c:pt>
                <c:pt idx="23">
                  <c:v>7/29/2024</c:v>
                </c:pt>
                <c:pt idx="24">
                  <c:v>8/19/2024</c:v>
                </c:pt>
                <c:pt idx="25">
                  <c:v>8/26/2024</c:v>
                </c:pt>
                <c:pt idx="26">
                  <c:v>9/16/2024</c:v>
                </c:pt>
                <c:pt idx="27">
                  <c:v>9/23/2024</c:v>
                </c:pt>
                <c:pt idx="28">
                  <c:v>9/30/2024</c:v>
                </c:pt>
                <c:pt idx="29">
                  <c:v>07-01-2024</c:v>
                </c:pt>
                <c:pt idx="30">
                  <c:v>09-02-2024</c:v>
                </c:pt>
                <c:pt idx="31">
                  <c:v>12-02-2024</c:v>
                </c:pt>
                <c:pt idx="32">
                  <c:v>06-03-2024</c:v>
                </c:pt>
                <c:pt idx="33">
                  <c:v>11-04-2024</c:v>
                </c:pt>
                <c:pt idx="34">
                  <c:v>08-05-2024</c:v>
                </c:pt>
                <c:pt idx="35">
                  <c:v>10-07-2024</c:v>
                </c:pt>
                <c:pt idx="36">
                  <c:v>07-08-2024</c:v>
                </c:pt>
                <c:pt idx="37">
                  <c:v>09-09-2024</c:v>
                </c:pt>
                <c:pt idx="38">
                  <c:v>12-09-2024</c:v>
                </c:pt>
                <c:pt idx="39">
                  <c:v>06-10-2024</c:v>
                </c:pt>
                <c:pt idx="40">
                  <c:v>11-11-2024</c:v>
                </c:pt>
                <c:pt idx="41">
                  <c:v>08-12-2024</c:v>
                </c:pt>
                <c:pt idx="42">
                  <c:v>02-03-2025</c:v>
                </c:pt>
                <c:pt idx="43">
                  <c:v>03-03-2025</c:v>
                </c:pt>
                <c:pt idx="44">
                  <c:v>05-05-2025</c:v>
                </c:pt>
                <c:pt idx="45">
                  <c:v>01-06-2025</c:v>
                </c:pt>
                <c:pt idx="46">
                  <c:v>04-07-2025</c:v>
                </c:pt>
                <c:pt idx="47">
                  <c:v>02-10-2025</c:v>
                </c:pt>
                <c:pt idx="48">
                  <c:v>03-10-2025</c:v>
                </c:pt>
                <c:pt idx="49">
                  <c:v>05-12-2025</c:v>
                </c:pt>
              </c:strCache>
            </c:strRef>
          </c:cat>
          <c:val>
            <c:numRef>
              <c:f>'moving average'!$B$4:$B$54</c:f>
              <c:numCache>
                <c:formatCode>General</c:formatCode>
                <c:ptCount val="50"/>
                <c:pt idx="0">
                  <c:v>1722</c:v>
                </c:pt>
                <c:pt idx="1">
                  <c:v>1572</c:v>
                </c:pt>
                <c:pt idx="2">
                  <c:v>-166</c:v>
                </c:pt>
                <c:pt idx="3">
                  <c:v>1224</c:v>
                </c:pt>
                <c:pt idx="4">
                  <c:v>262</c:v>
                </c:pt>
                <c:pt idx="5">
                  <c:v>576</c:v>
                </c:pt>
                <c:pt idx="6">
                  <c:v>-49</c:v>
                </c:pt>
                <c:pt idx="7">
                  <c:v>1693</c:v>
                </c:pt>
                <c:pt idx="8">
                  <c:v>1432</c:v>
                </c:pt>
                <c:pt idx="9">
                  <c:v>684</c:v>
                </c:pt>
                <c:pt idx="10">
                  <c:v>1765</c:v>
                </c:pt>
                <c:pt idx="11">
                  <c:v>965</c:v>
                </c:pt>
                <c:pt idx="12">
                  <c:v>1375</c:v>
                </c:pt>
                <c:pt idx="13">
                  <c:v>680</c:v>
                </c:pt>
                <c:pt idx="14">
                  <c:v>461</c:v>
                </c:pt>
                <c:pt idx="15">
                  <c:v>641</c:v>
                </c:pt>
                <c:pt idx="16">
                  <c:v>-160</c:v>
                </c:pt>
                <c:pt idx="17">
                  <c:v>603</c:v>
                </c:pt>
                <c:pt idx="18">
                  <c:v>1539</c:v>
                </c:pt>
                <c:pt idx="19">
                  <c:v>893</c:v>
                </c:pt>
                <c:pt idx="20">
                  <c:v>629</c:v>
                </c:pt>
                <c:pt idx="21">
                  <c:v>1845</c:v>
                </c:pt>
                <c:pt idx="22">
                  <c:v>159</c:v>
                </c:pt>
                <c:pt idx="23">
                  <c:v>541</c:v>
                </c:pt>
                <c:pt idx="24">
                  <c:v>76</c:v>
                </c:pt>
                <c:pt idx="25">
                  <c:v>1609</c:v>
                </c:pt>
                <c:pt idx="26">
                  <c:v>377</c:v>
                </c:pt>
                <c:pt idx="27">
                  <c:v>666</c:v>
                </c:pt>
                <c:pt idx="28">
                  <c:v>1025</c:v>
                </c:pt>
                <c:pt idx="29">
                  <c:v>-219</c:v>
                </c:pt>
                <c:pt idx="30">
                  <c:v>1247</c:v>
                </c:pt>
                <c:pt idx="31">
                  <c:v>1625</c:v>
                </c:pt>
                <c:pt idx="32">
                  <c:v>1047</c:v>
                </c:pt>
                <c:pt idx="33">
                  <c:v>1397</c:v>
                </c:pt>
                <c:pt idx="34">
                  <c:v>352</c:v>
                </c:pt>
                <c:pt idx="35">
                  <c:v>1872</c:v>
                </c:pt>
                <c:pt idx="36">
                  <c:v>1672</c:v>
                </c:pt>
                <c:pt idx="37">
                  <c:v>1572</c:v>
                </c:pt>
                <c:pt idx="38">
                  <c:v>1119</c:v>
                </c:pt>
                <c:pt idx="39">
                  <c:v>517</c:v>
                </c:pt>
                <c:pt idx="40">
                  <c:v>902</c:v>
                </c:pt>
                <c:pt idx="41">
                  <c:v>1325</c:v>
                </c:pt>
                <c:pt idx="42">
                  <c:v>1080</c:v>
                </c:pt>
                <c:pt idx="43">
                  <c:v>1315</c:v>
                </c:pt>
                <c:pt idx="44">
                  <c:v>1881</c:v>
                </c:pt>
                <c:pt idx="45">
                  <c:v>903</c:v>
                </c:pt>
                <c:pt idx="46">
                  <c:v>167</c:v>
                </c:pt>
                <c:pt idx="47">
                  <c:v>1723</c:v>
                </c:pt>
                <c:pt idx="48">
                  <c:v>212</c:v>
                </c:pt>
                <c:pt idx="49">
                  <c:v>1656</c:v>
                </c:pt>
              </c:numCache>
            </c:numRef>
          </c:val>
          <c:smooth val="0"/>
          <c:extLst>
            <c:ext xmlns:c16="http://schemas.microsoft.com/office/drawing/2014/chart" uri="{C3380CC4-5D6E-409C-BE32-E72D297353CC}">
              <c16:uniqueId val="{00000000-2166-43A3-ACE6-81A58E34ED55}"/>
            </c:ext>
          </c:extLst>
        </c:ser>
        <c:dLbls>
          <c:showLegendKey val="0"/>
          <c:showVal val="0"/>
          <c:showCatName val="0"/>
          <c:showSerName val="0"/>
          <c:showPercent val="0"/>
          <c:showBubbleSize val="0"/>
        </c:dLbls>
        <c:smooth val="0"/>
        <c:axId val="451694784"/>
        <c:axId val="451695264"/>
      </c:lineChart>
      <c:catAx>
        <c:axId val="45169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95264"/>
        <c:crosses val="autoZero"/>
        <c:auto val="1"/>
        <c:lblAlgn val="ctr"/>
        <c:lblOffset val="100"/>
        <c:noMultiLvlLbl val="0"/>
      </c:catAx>
      <c:valAx>
        <c:axId val="45169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9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 ad spend vs. follower growth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t> ad spend vs. follower growth </a:t>
            </a:r>
          </a:p>
        </c:rich>
      </c:tx>
      <c:layout>
        <c:manualLayout>
          <c:xMode val="edge"/>
          <c:yMode val="edge"/>
          <c:x val="0.3111922740426677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 ad spend vs. follower growth '!$B$4</c:f>
              <c:strCache>
                <c:ptCount val="1"/>
                <c:pt idx="0">
                  <c:v>Sum of Ad_Spend</c:v>
                </c:pt>
              </c:strCache>
            </c:strRef>
          </c:tx>
          <c:spPr>
            <a:ln w="25400" cap="rnd">
              <a:noFill/>
              <a:round/>
            </a:ln>
            <a:effectLst/>
          </c:spPr>
          <c:marker>
            <c:symbol val="circle"/>
            <c:size val="5"/>
            <c:spPr>
              <a:solidFill>
                <a:schemeClr val="accent1"/>
              </a:solidFill>
              <a:ln w="9525">
                <a:solidFill>
                  <a:schemeClr val="accent1"/>
                </a:solidFill>
              </a:ln>
              <a:effectLst/>
            </c:spPr>
          </c:marker>
          <c:xVal>
            <c:strRef>
              <c:f>' ad spend vs. follower growth '!$A$5:$A$9</c:f>
              <c:strCache>
                <c:ptCount val="5"/>
                <c:pt idx="0">
                  <c:v>Facebook</c:v>
                </c:pt>
                <c:pt idx="1">
                  <c:v>Instagram</c:v>
                </c:pt>
                <c:pt idx="2">
                  <c:v>Twitter</c:v>
                </c:pt>
                <c:pt idx="3">
                  <c:v>YouTube</c:v>
                </c:pt>
                <c:pt idx="4">
                  <c:v>Grand Total</c:v>
                </c:pt>
              </c:strCache>
            </c:strRef>
          </c:xVal>
          <c:yVal>
            <c:numRef>
              <c:f>' ad spend vs. follower growth '!$B$5:$B$9</c:f>
              <c:numCache>
                <c:formatCode>General</c:formatCode>
                <c:ptCount val="4"/>
                <c:pt idx="0">
                  <c:v>1379539</c:v>
                </c:pt>
                <c:pt idx="1">
                  <c:v>1164373</c:v>
                </c:pt>
                <c:pt idx="2">
                  <c:v>1060357</c:v>
                </c:pt>
                <c:pt idx="3">
                  <c:v>1228647</c:v>
                </c:pt>
              </c:numCache>
            </c:numRef>
          </c:yVal>
          <c:smooth val="0"/>
          <c:extLst>
            <c:ext xmlns:c16="http://schemas.microsoft.com/office/drawing/2014/chart" uri="{C3380CC4-5D6E-409C-BE32-E72D297353CC}">
              <c16:uniqueId val="{00000003-1EB3-43FD-8BB3-0AA31F8AAFB9}"/>
            </c:ext>
          </c:extLst>
        </c:ser>
        <c:ser>
          <c:idx val="1"/>
          <c:order val="1"/>
          <c:tx>
            <c:strRef>
              <c:f>' ad spend vs. follower growth '!$C$4</c:f>
              <c:strCache>
                <c:ptCount val="1"/>
                <c:pt idx="0">
                  <c:v>Sum of Net_followers</c:v>
                </c:pt>
              </c:strCache>
            </c:strRef>
          </c:tx>
          <c:spPr>
            <a:ln w="25400" cap="rnd">
              <a:noFill/>
              <a:round/>
            </a:ln>
            <a:effectLst/>
          </c:spPr>
          <c:marker>
            <c:symbol val="circle"/>
            <c:size val="5"/>
            <c:spPr>
              <a:solidFill>
                <a:schemeClr val="accent2"/>
              </a:solidFill>
              <a:ln w="9525">
                <a:solidFill>
                  <a:schemeClr val="accent2"/>
                </a:solidFill>
              </a:ln>
              <a:effectLst/>
            </c:spPr>
          </c:marker>
          <c:xVal>
            <c:strRef>
              <c:f>' ad spend vs. follower growth '!$A$5:$A$9</c:f>
              <c:strCache>
                <c:ptCount val="5"/>
                <c:pt idx="0">
                  <c:v>Facebook</c:v>
                </c:pt>
                <c:pt idx="1">
                  <c:v>Instagram</c:v>
                </c:pt>
                <c:pt idx="2">
                  <c:v>Twitter</c:v>
                </c:pt>
                <c:pt idx="3">
                  <c:v>YouTube</c:v>
                </c:pt>
                <c:pt idx="4">
                  <c:v>Grand Total</c:v>
                </c:pt>
              </c:strCache>
            </c:strRef>
          </c:xVal>
          <c:yVal>
            <c:numRef>
              <c:f>' ad spend vs. follower growth '!$C$5:$C$9</c:f>
              <c:numCache>
                <c:formatCode>General</c:formatCode>
                <c:ptCount val="4"/>
                <c:pt idx="0">
                  <c:v>35557</c:v>
                </c:pt>
                <c:pt idx="1">
                  <c:v>48004</c:v>
                </c:pt>
                <c:pt idx="2">
                  <c:v>41177</c:v>
                </c:pt>
                <c:pt idx="3">
                  <c:v>35367</c:v>
                </c:pt>
              </c:numCache>
            </c:numRef>
          </c:yVal>
          <c:smooth val="0"/>
          <c:extLst>
            <c:ext xmlns:c16="http://schemas.microsoft.com/office/drawing/2014/chart" uri="{C3380CC4-5D6E-409C-BE32-E72D297353CC}">
              <c16:uniqueId val="{00000004-1EB3-43FD-8BB3-0AA31F8AAFB9}"/>
            </c:ext>
          </c:extLst>
        </c:ser>
        <c:dLbls>
          <c:showLegendKey val="0"/>
          <c:showVal val="0"/>
          <c:showCatName val="0"/>
          <c:showSerName val="0"/>
          <c:showPercent val="0"/>
          <c:showBubbleSize val="0"/>
        </c:dLbls>
        <c:axId val="15289136"/>
        <c:axId val="15281936"/>
      </c:scatterChart>
      <c:valAx>
        <c:axId val="152891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1936"/>
        <c:crosses val="autoZero"/>
        <c:crossBetween val="midCat"/>
      </c:valAx>
      <c:valAx>
        <c:axId val="1528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91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endParaRPr lang="en-IN" sz="1800" b="0" i="0" u="none" strike="noStrike" baseline="0"/>
          </a:p>
          <a:p>
            <a:r>
              <a:rPr lang="en-IN" sz="1400" b="0" i="0" u="none" strike="noStrike" baseline="0"/>
              <a:t>Peak week of follower gain distribution chart </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sunburst" uniqueId="{DACDF856-C84D-4915-8758-8D88DFC6DDFE}">
          <cx:tx>
            <cx:txData>
              <cx:f>_xlchart.v1.1</cx:f>
              <cx:v>Follower gain</cx:v>
            </cx:txData>
          </cx:tx>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91440</xdr:colOff>
      <xdr:row>8</xdr:row>
      <xdr:rowOff>38100</xdr:rowOff>
    </xdr:from>
    <xdr:to>
      <xdr:col>15</xdr:col>
      <xdr:colOff>7620</xdr:colOff>
      <xdr:row>25</xdr:row>
      <xdr:rowOff>7620</xdr:rowOff>
    </xdr:to>
    <xdr:graphicFrame macro="">
      <xdr:nvGraphicFramePr>
        <xdr:cNvPr id="2" name="Chart 1">
          <a:extLst>
            <a:ext uri="{FF2B5EF4-FFF2-40B4-BE49-F238E27FC236}">
              <a16:creationId xmlns:a16="http://schemas.microsoft.com/office/drawing/2014/main" id="{6A77F8AF-FB6D-F1A8-E33C-12FB98F21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723900</xdr:colOff>
      <xdr:row>10</xdr:row>
      <xdr:rowOff>7620</xdr:rowOff>
    </xdr:from>
    <xdr:to>
      <xdr:col>13</xdr:col>
      <xdr:colOff>320040</xdr:colOff>
      <xdr:row>29</xdr:row>
      <xdr:rowOff>45720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2817E37-47FC-77E5-41AB-9B9EC18E3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54980" y="1981200"/>
              <a:ext cx="4572000" cy="3512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601980</xdr:colOff>
      <xdr:row>20</xdr:row>
      <xdr:rowOff>167640</xdr:rowOff>
    </xdr:from>
    <xdr:to>
      <xdr:col>8</xdr:col>
      <xdr:colOff>198120</xdr:colOff>
      <xdr:row>28</xdr:row>
      <xdr:rowOff>114299</xdr:rowOff>
    </xdr:to>
    <mc:AlternateContent xmlns:mc="http://schemas.openxmlformats.org/markup-compatibility/2006" xmlns:a14="http://schemas.microsoft.com/office/drawing/2010/main">
      <mc:Choice Requires="a14">
        <xdr:graphicFrame macro="">
          <xdr:nvGraphicFramePr>
            <xdr:cNvPr id="2" name="Platform" descr="Line chart showing weekly net follower growth by platform with a 3-week moving average; Instagram shows a steadily increasing trend">
              <a:extLst>
                <a:ext uri="{FF2B5EF4-FFF2-40B4-BE49-F238E27FC236}">
                  <a16:creationId xmlns:a16="http://schemas.microsoft.com/office/drawing/2014/main" id="{BC62FA29-63D9-A1FA-CA1D-DCB9E9CC71BC}"/>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764280" y="3825240"/>
              <a:ext cx="325374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2</xdr:row>
      <xdr:rowOff>38100</xdr:rowOff>
    </xdr:from>
    <xdr:to>
      <xdr:col>19</xdr:col>
      <xdr:colOff>30480</xdr:colOff>
      <xdr:row>19</xdr:row>
      <xdr:rowOff>0</xdr:rowOff>
    </xdr:to>
    <xdr:graphicFrame macro="">
      <xdr:nvGraphicFramePr>
        <xdr:cNvPr id="4" name="Chart 3">
          <a:extLst>
            <a:ext uri="{FF2B5EF4-FFF2-40B4-BE49-F238E27FC236}">
              <a16:creationId xmlns:a16="http://schemas.microsoft.com/office/drawing/2014/main" id="{5E592F8D-A049-0FE3-9B71-9A017E0F6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xdr:colOff>
      <xdr:row>23</xdr:row>
      <xdr:rowOff>7620</xdr:rowOff>
    </xdr:from>
    <xdr:to>
      <xdr:col>14</xdr:col>
      <xdr:colOff>594360</xdr:colOff>
      <xdr:row>27</xdr:row>
      <xdr:rowOff>15240</xdr:rowOff>
    </xdr:to>
    <xdr:sp macro="" textlink="">
      <xdr:nvSpPr>
        <xdr:cNvPr id="5" name="Rectangle 4">
          <a:extLst>
            <a:ext uri="{FF2B5EF4-FFF2-40B4-BE49-F238E27FC236}">
              <a16:creationId xmlns:a16="http://schemas.microsoft.com/office/drawing/2014/main" id="{BB2816EA-F789-1789-D8BA-4C3ECC0EB09E}"/>
            </a:ext>
          </a:extLst>
        </xdr:cNvPr>
        <xdr:cNvSpPr/>
      </xdr:nvSpPr>
      <xdr:spPr>
        <a:xfrm>
          <a:off x="8061960" y="4213860"/>
          <a:ext cx="3009900" cy="739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Line chart showing weekly net follower growth by platform with a 3-week moving average; Instagram shows a steadily increasing trend</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6</xdr:row>
      <xdr:rowOff>167640</xdr:rowOff>
    </xdr:from>
    <xdr:to>
      <xdr:col>15</xdr:col>
      <xdr:colOff>129540</xdr:colOff>
      <xdr:row>24</xdr:row>
      <xdr:rowOff>22860</xdr:rowOff>
    </xdr:to>
    <xdr:graphicFrame macro="">
      <xdr:nvGraphicFramePr>
        <xdr:cNvPr id="2" name="Chart 1">
          <a:extLst>
            <a:ext uri="{FF2B5EF4-FFF2-40B4-BE49-F238E27FC236}">
              <a16:creationId xmlns:a16="http://schemas.microsoft.com/office/drawing/2014/main" id="{35F7D0A6-DF70-FD60-2C87-276A03611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12.711870486113" createdVersion="8" refreshedVersion="8" minRefreshableVersion="3" recordCount="200" xr:uid="{3C805D26-EC18-4F3C-9BF3-E5256ACA9939}">
  <cacheSource type="worksheet">
    <worksheetSource name="Table4"/>
  </cacheSource>
  <cacheFields count="8">
    <cacheField name="Week_Start_Date" numFmtId="0">
      <sharedItems containsDate="1" containsMixedTypes="1" minDate="2024-01-07T00:00:00" maxDate="2025-12-06T00:00:00" count="50">
        <d v="2024-03-06T00:00:00"/>
        <d v="2024-10-06T00:00:00"/>
        <s v="6/17/2024"/>
        <s v="6/24/2024"/>
        <d v="2024-01-07T00:00:00"/>
        <d v="2024-08-07T00:00:00"/>
        <s v="7/15/2024"/>
        <s v="7/22/2024"/>
        <s v="7/29/2024"/>
        <d v="2024-05-08T00:00:00"/>
        <d v="2024-12-08T00:00:00"/>
        <s v="8/19/2024"/>
        <s v="8/26/2024"/>
        <d v="2024-02-09T00:00:00"/>
        <d v="2024-09-09T00:00:00"/>
        <s v="9/16/2024"/>
        <s v="9/23/2024"/>
        <s v="9/30/2024"/>
        <d v="2024-07-10T00:00:00"/>
        <s v="10/14/2024"/>
        <s v="10/21/2024"/>
        <s v="10/28/2024"/>
        <d v="2024-04-11T00:00:00"/>
        <d v="2024-11-11T00:00:00"/>
        <s v="11/18/2024"/>
        <s v="11/25/2024"/>
        <d v="2024-02-12T00:00:00"/>
        <d v="2024-09-12T00:00:00"/>
        <s v="12/16/2024"/>
        <s v="12/23/2024"/>
        <s v="12/30/2024"/>
        <d v="2025-06-01T00:00:00"/>
        <s v="1/13/2025"/>
        <s v="1/20/2025"/>
        <s v="1/27/2025"/>
        <d v="2025-03-02T00:00:00"/>
        <d v="2025-10-02T00:00:00"/>
        <s v="2/17/2025"/>
        <s v="2/24/2025"/>
        <d v="2025-03-03T00:00:00"/>
        <d v="2025-10-03T00:00:00"/>
        <s v="3/17/2025"/>
        <s v="3/24/2025"/>
        <s v="3/31/2025"/>
        <d v="2025-07-04T00:00:00"/>
        <s v="4/14/2025"/>
        <s v="4/21/2025"/>
        <s v="4/28/2025"/>
        <d v="2025-05-05T00:00:00"/>
        <d v="2025-12-05T00:00:0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Net_followers" numFmtId="0">
      <sharedItems containsSemiMixedTypes="0" containsString="0" containsNumber="1" containsInteger="1" minValue="-337" maxValue="1881" count="193">
        <n v="1047"/>
        <n v="1002"/>
        <n v="415"/>
        <n v="1090"/>
        <n v="517"/>
        <n v="1283"/>
        <n v="186"/>
        <n v="994"/>
        <n v="893"/>
        <n v="1382"/>
        <n v="1295"/>
        <n v="337"/>
        <n v="629"/>
        <n v="1670"/>
        <n v="835"/>
        <n v="-123"/>
        <n v="-219"/>
        <n v="64"/>
        <n v="1357"/>
        <n v="91"/>
        <n v="1672"/>
        <n v="309"/>
        <n v="547"/>
        <n v="514"/>
        <n v="1845"/>
        <n v="-164"/>
        <n v="429"/>
        <n v="160"/>
        <n v="159"/>
        <n v="961"/>
        <n v="1316"/>
        <n v="317"/>
        <n v="541"/>
        <n v="-318"/>
        <n v="1495"/>
        <n v="475"/>
        <n v="352"/>
        <n v="-197"/>
        <n v="328"/>
        <n v="319"/>
        <n v="1325"/>
        <n v="1334"/>
        <n v="37"/>
        <n v="1032"/>
        <n v="76"/>
        <n v="1058"/>
        <n v="1665"/>
        <n v="190"/>
        <n v="1609"/>
        <n v="1229"/>
        <n v="28"/>
        <n v="1247"/>
        <n v="1045"/>
        <n v="197"/>
        <n v="333"/>
        <n v="1572"/>
        <n v="1428"/>
        <n v="260"/>
        <n v="1100"/>
        <n v="377"/>
        <n v="98"/>
        <n v="1125"/>
        <n v="-32"/>
        <n v="666"/>
        <n v="-19"/>
        <n v="1680"/>
        <n v="1006"/>
        <n v="1025"/>
        <n v="-179"/>
        <n v="599"/>
        <n v="1706"/>
        <n v="1872"/>
        <n v="1662"/>
        <n v="107"/>
        <n v="118"/>
        <n v="1224"/>
        <n v="285"/>
        <n v="-20"/>
        <n v="367"/>
        <n v="262"/>
        <n v="439"/>
        <n v="636"/>
        <n v="1484"/>
        <n v="576"/>
        <n v="386"/>
        <n v="1657"/>
        <n v="1397"/>
        <n v="540"/>
        <n v="1603"/>
        <n v="1044"/>
        <n v="902"/>
        <n v="-106"/>
        <n v="1150"/>
        <n v="349"/>
        <n v="-49"/>
        <n v="72"/>
        <n v="445"/>
        <n v="60"/>
        <n v="1693"/>
        <n v="1332"/>
        <n v="885"/>
        <n v="1625"/>
        <n v="1173"/>
        <n v="291"/>
        <n v="1119"/>
        <n v="1373"/>
        <n v="1727"/>
        <n v="573"/>
        <n v="1432"/>
        <n v="1377"/>
        <n v="1359"/>
        <n v="876"/>
        <n v="684"/>
        <n v="730"/>
        <n v="911"/>
        <n v="1589"/>
        <n v="1765"/>
        <n v="1776"/>
        <n v="1529"/>
        <n v="1460"/>
        <n v="903"/>
        <n v="620"/>
        <n v="1188"/>
        <n v="846"/>
        <n v="1722"/>
        <n v="298"/>
        <n v="-144"/>
        <n v="901"/>
        <n v="427"/>
        <n v="891"/>
        <n v="724"/>
        <n v="-166"/>
        <n v="898"/>
        <n v="1426"/>
        <n v="1225"/>
        <n v="1080"/>
        <n v="748"/>
        <n v="569"/>
        <n v="-203"/>
        <n v="1723"/>
        <n v="912"/>
        <n v="1202"/>
        <n v="1444"/>
        <n v="965"/>
        <n v="1590"/>
        <n v="-37"/>
        <n v="1175"/>
        <n v="1375"/>
        <n v="1707"/>
        <n v="708"/>
        <n v="1016"/>
        <n v="1315"/>
        <n v="-119"/>
        <n v="899"/>
        <n v="315"/>
        <n v="212"/>
        <n v="908"/>
        <n v="1350"/>
        <n v="1242"/>
        <n v="680"/>
        <n v="1116"/>
        <n v="861"/>
        <n v="1385"/>
        <n v="461"/>
        <n v="474"/>
        <n v="292"/>
        <n v="389"/>
        <n v="641"/>
        <n v="1676"/>
        <n v="1467"/>
        <n v="167"/>
        <n v="1029"/>
        <n v="1007"/>
        <n v="209"/>
        <n v="-160"/>
        <n v="-175"/>
        <n v="53"/>
        <n v="145"/>
        <n v="603"/>
        <n v="759"/>
        <n v="1633"/>
        <n v="1539"/>
        <n v="453"/>
        <n v="948"/>
        <n v="637"/>
        <n v="1881"/>
        <n v="339"/>
        <n v="1510"/>
        <n v="864"/>
        <n v="1656"/>
        <n v="407"/>
        <n v="269"/>
        <n v="-337"/>
      </sharedItems>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ount="199">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sharedItems>
    </cacheField>
  </cacheFields>
  <extLst>
    <ext xmlns:x14="http://schemas.microsoft.com/office/spreadsheetml/2009/9/main" uri="{725AE2AE-9491-48be-B2B4-4EB974FC3084}">
      <x14:pivotCacheDefinition pivotCacheId="1261692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x v="0"/>
    <n v="344084"/>
    <n v="8.06"/>
    <x v="0"/>
  </r>
  <r>
    <x v="0"/>
    <x v="1"/>
    <n v="1312"/>
    <n v="310"/>
    <x v="1"/>
    <n v="42654"/>
    <n v="4.9800000000000004"/>
    <x v="1"/>
  </r>
  <r>
    <x v="0"/>
    <x v="2"/>
    <n v="584"/>
    <n v="169"/>
    <x v="2"/>
    <n v="146834"/>
    <n v="8.31"/>
    <x v="2"/>
  </r>
  <r>
    <x v="0"/>
    <x v="3"/>
    <n v="1535"/>
    <n v="445"/>
    <x v="3"/>
    <n v="395536"/>
    <n v="4.1100000000000003"/>
    <x v="3"/>
  </r>
  <r>
    <x v="1"/>
    <x v="0"/>
    <n v="656"/>
    <n v="139"/>
    <x v="4"/>
    <n v="49157"/>
    <n v="9.0500000000000007"/>
    <x v="4"/>
  </r>
  <r>
    <x v="1"/>
    <x v="1"/>
    <n v="1697"/>
    <n v="414"/>
    <x v="5"/>
    <n v="316555"/>
    <n v="2.37"/>
    <x v="5"/>
  </r>
  <r>
    <x v="1"/>
    <x v="2"/>
    <n v="436"/>
    <n v="250"/>
    <x v="6"/>
    <n v="254347"/>
    <n v="4.01"/>
    <x v="6"/>
  </r>
  <r>
    <x v="1"/>
    <x v="3"/>
    <n v="1197"/>
    <n v="203"/>
    <x v="7"/>
    <n v="413878"/>
    <n v="3.16"/>
    <x v="7"/>
  </r>
  <r>
    <x v="2"/>
    <x v="0"/>
    <n v="1048"/>
    <n v="155"/>
    <x v="8"/>
    <n v="456946"/>
    <n v="2.46"/>
    <x v="8"/>
  </r>
  <r>
    <x v="2"/>
    <x v="1"/>
    <n v="1753"/>
    <n v="371"/>
    <x v="9"/>
    <n v="169496"/>
    <n v="8.11"/>
    <x v="9"/>
  </r>
  <r>
    <x v="2"/>
    <x v="2"/>
    <n v="1335"/>
    <n v="40"/>
    <x v="10"/>
    <n v="122732"/>
    <n v="8.19"/>
    <x v="10"/>
  </r>
  <r>
    <x v="2"/>
    <x v="3"/>
    <n v="403"/>
    <n v="66"/>
    <x v="11"/>
    <n v="382851"/>
    <n v="3.49"/>
    <x v="11"/>
  </r>
  <r>
    <x v="3"/>
    <x v="0"/>
    <n v="911"/>
    <n v="282"/>
    <x v="12"/>
    <n v="35664"/>
    <n v="6.92"/>
    <x v="12"/>
  </r>
  <r>
    <x v="3"/>
    <x v="1"/>
    <n v="1779"/>
    <n v="109"/>
    <x v="13"/>
    <n v="26295"/>
    <n v="9.1199999999999992"/>
    <x v="13"/>
  </r>
  <r>
    <x v="3"/>
    <x v="2"/>
    <n v="1238"/>
    <n v="403"/>
    <x v="14"/>
    <n v="298421"/>
    <n v="3.5"/>
    <x v="14"/>
  </r>
  <r>
    <x v="3"/>
    <x v="3"/>
    <n v="308"/>
    <n v="431"/>
    <x v="15"/>
    <n v="426184"/>
    <n v="2.62"/>
    <x v="15"/>
  </r>
  <r>
    <x v="4"/>
    <x v="0"/>
    <n v="226"/>
    <n v="445"/>
    <x v="16"/>
    <n v="419447"/>
    <n v="9.36"/>
    <x v="1"/>
  </r>
  <r>
    <x v="4"/>
    <x v="1"/>
    <n v="505"/>
    <n v="441"/>
    <x v="17"/>
    <n v="220020"/>
    <n v="4.4800000000000004"/>
    <x v="16"/>
  </r>
  <r>
    <x v="4"/>
    <x v="2"/>
    <n v="1420"/>
    <n v="63"/>
    <x v="18"/>
    <n v="315305"/>
    <n v="6.19"/>
    <x v="17"/>
  </r>
  <r>
    <x v="4"/>
    <x v="3"/>
    <n v="144"/>
    <n v="53"/>
    <x v="19"/>
    <n v="113678"/>
    <n v="8.7200000000000006"/>
    <x v="18"/>
  </r>
  <r>
    <x v="5"/>
    <x v="0"/>
    <n v="1757"/>
    <n v="85"/>
    <x v="20"/>
    <n v="58223"/>
    <n v="8.74"/>
    <x v="19"/>
  </r>
  <r>
    <x v="5"/>
    <x v="1"/>
    <n v="350"/>
    <n v="41"/>
    <x v="21"/>
    <n v="251694"/>
    <n v="1.91"/>
    <x v="20"/>
  </r>
  <r>
    <x v="5"/>
    <x v="2"/>
    <n v="987"/>
    <n v="440"/>
    <x v="22"/>
    <n v="389810"/>
    <n v="4.66"/>
    <x v="21"/>
  </r>
  <r>
    <x v="5"/>
    <x v="3"/>
    <n v="883"/>
    <n v="369"/>
    <x v="23"/>
    <n v="233694"/>
    <n v="2.88"/>
    <x v="22"/>
  </r>
  <r>
    <x v="6"/>
    <x v="0"/>
    <n v="1960"/>
    <n v="115"/>
    <x v="24"/>
    <n v="154169"/>
    <n v="3.74"/>
    <x v="23"/>
  </r>
  <r>
    <x v="6"/>
    <x v="1"/>
    <n v="170"/>
    <n v="334"/>
    <x v="25"/>
    <n v="334626"/>
    <n v="6.44"/>
    <x v="24"/>
  </r>
  <r>
    <x v="6"/>
    <x v="2"/>
    <n v="704"/>
    <n v="275"/>
    <x v="26"/>
    <n v="226002"/>
    <n v="8.56"/>
    <x v="25"/>
  </r>
  <r>
    <x v="6"/>
    <x v="3"/>
    <n v="224"/>
    <n v="64"/>
    <x v="27"/>
    <n v="156683"/>
    <n v="4.5599999999999996"/>
    <x v="26"/>
  </r>
  <r>
    <x v="7"/>
    <x v="0"/>
    <n v="508"/>
    <n v="349"/>
    <x v="28"/>
    <n v="473812"/>
    <n v="7.88"/>
    <x v="27"/>
  </r>
  <r>
    <x v="7"/>
    <x v="1"/>
    <n v="1391"/>
    <n v="430"/>
    <x v="29"/>
    <n v="295032"/>
    <n v="7.86"/>
    <x v="28"/>
  </r>
  <r>
    <x v="7"/>
    <x v="2"/>
    <n v="1701"/>
    <n v="385"/>
    <x v="30"/>
    <n v="198278"/>
    <n v="5.34"/>
    <x v="29"/>
  </r>
  <r>
    <x v="7"/>
    <x v="3"/>
    <n v="804"/>
    <n v="487"/>
    <x v="31"/>
    <n v="306564"/>
    <n v="5.52"/>
    <x v="30"/>
  </r>
  <r>
    <x v="8"/>
    <x v="0"/>
    <n v="653"/>
    <n v="112"/>
    <x v="32"/>
    <n v="23664"/>
    <n v="4.05"/>
    <x v="31"/>
  </r>
  <r>
    <x v="8"/>
    <x v="1"/>
    <n v="160"/>
    <n v="478"/>
    <x v="33"/>
    <n v="435034"/>
    <n v="7.73"/>
    <x v="32"/>
  </r>
  <r>
    <x v="8"/>
    <x v="2"/>
    <n v="1756"/>
    <n v="261"/>
    <x v="34"/>
    <n v="287574"/>
    <n v="4.3600000000000003"/>
    <x v="33"/>
  </r>
  <r>
    <x v="8"/>
    <x v="3"/>
    <n v="576"/>
    <n v="101"/>
    <x v="35"/>
    <n v="62499"/>
    <n v="3.48"/>
    <x v="34"/>
  </r>
  <r>
    <x v="9"/>
    <x v="0"/>
    <n v="645"/>
    <n v="293"/>
    <x v="36"/>
    <n v="437968"/>
    <n v="7.83"/>
    <x v="35"/>
  </r>
  <r>
    <x v="9"/>
    <x v="1"/>
    <n v="214"/>
    <n v="411"/>
    <x v="37"/>
    <n v="125034"/>
    <n v="6.11"/>
    <x v="36"/>
  </r>
  <r>
    <x v="9"/>
    <x v="2"/>
    <n v="826"/>
    <n v="498"/>
    <x v="38"/>
    <n v="449994"/>
    <n v="9.43"/>
    <x v="37"/>
  </r>
  <r>
    <x v="9"/>
    <x v="3"/>
    <n v="460"/>
    <n v="141"/>
    <x v="39"/>
    <n v="320650"/>
    <n v="4.04"/>
    <x v="38"/>
  </r>
  <r>
    <x v="10"/>
    <x v="0"/>
    <n v="1528"/>
    <n v="203"/>
    <x v="40"/>
    <n v="489188"/>
    <n v="6.23"/>
    <x v="39"/>
  </r>
  <r>
    <x v="10"/>
    <x v="1"/>
    <n v="1534"/>
    <n v="200"/>
    <x v="41"/>
    <n v="307612"/>
    <n v="6.01"/>
    <x v="40"/>
  </r>
  <r>
    <x v="10"/>
    <x v="2"/>
    <n v="485"/>
    <n v="448"/>
    <x v="42"/>
    <n v="434883"/>
    <n v="8.5500000000000007"/>
    <x v="41"/>
  </r>
  <r>
    <x v="10"/>
    <x v="3"/>
    <n v="1210"/>
    <n v="178"/>
    <x v="43"/>
    <n v="102042"/>
    <n v="5.42"/>
    <x v="42"/>
  </r>
  <r>
    <x v="11"/>
    <x v="0"/>
    <n v="215"/>
    <n v="139"/>
    <x v="44"/>
    <n v="325444"/>
    <n v="3.25"/>
    <x v="43"/>
  </r>
  <r>
    <x v="11"/>
    <x v="1"/>
    <n v="1078"/>
    <n v="20"/>
    <x v="45"/>
    <n v="183924"/>
    <n v="8.84"/>
    <x v="44"/>
  </r>
  <r>
    <x v="11"/>
    <x v="2"/>
    <n v="1751"/>
    <n v="86"/>
    <x v="46"/>
    <n v="188655"/>
    <n v="7.24"/>
    <x v="45"/>
  </r>
  <r>
    <x v="11"/>
    <x v="3"/>
    <n v="221"/>
    <n v="31"/>
    <x v="47"/>
    <n v="87443"/>
    <n v="6.19"/>
    <x v="46"/>
  </r>
  <r>
    <x v="12"/>
    <x v="0"/>
    <n v="1685"/>
    <n v="76"/>
    <x v="48"/>
    <n v="453799"/>
    <n v="5.71"/>
    <x v="47"/>
  </r>
  <r>
    <x v="12"/>
    <x v="1"/>
    <n v="248"/>
    <n v="211"/>
    <x v="42"/>
    <n v="379380"/>
    <n v="9.0399999999999991"/>
    <x v="48"/>
  </r>
  <r>
    <x v="12"/>
    <x v="2"/>
    <n v="1300"/>
    <n v="71"/>
    <x v="49"/>
    <n v="186454"/>
    <n v="3.91"/>
    <x v="49"/>
  </r>
  <r>
    <x v="12"/>
    <x v="3"/>
    <n v="422"/>
    <n v="394"/>
    <x v="50"/>
    <n v="239044"/>
    <n v="7.83"/>
    <x v="50"/>
  </r>
  <r>
    <x v="13"/>
    <x v="0"/>
    <n v="1429"/>
    <n v="182"/>
    <x v="51"/>
    <n v="101332"/>
    <n v="7.16"/>
    <x v="51"/>
  </r>
  <r>
    <x v="13"/>
    <x v="1"/>
    <n v="1520"/>
    <n v="475"/>
    <x v="52"/>
    <n v="496982"/>
    <n v="6.41"/>
    <x v="52"/>
  </r>
  <r>
    <x v="13"/>
    <x v="2"/>
    <n v="557"/>
    <n v="360"/>
    <x v="53"/>
    <n v="318779"/>
    <n v="8.02"/>
    <x v="53"/>
  </r>
  <r>
    <x v="13"/>
    <x v="3"/>
    <n v="728"/>
    <n v="395"/>
    <x v="54"/>
    <n v="370971"/>
    <n v="3.86"/>
    <x v="54"/>
  </r>
  <r>
    <x v="14"/>
    <x v="0"/>
    <n v="1592"/>
    <n v="20"/>
    <x v="55"/>
    <n v="378054"/>
    <n v="9.09"/>
    <x v="55"/>
  </r>
  <r>
    <x v="14"/>
    <x v="1"/>
    <n v="1842"/>
    <n v="414"/>
    <x v="56"/>
    <n v="307524"/>
    <n v="1.76"/>
    <x v="56"/>
  </r>
  <r>
    <x v="14"/>
    <x v="2"/>
    <n v="751"/>
    <n v="491"/>
    <x v="57"/>
    <n v="434047"/>
    <n v="9.24"/>
    <x v="57"/>
  </r>
  <r>
    <x v="14"/>
    <x v="3"/>
    <n v="1409"/>
    <n v="309"/>
    <x v="58"/>
    <n v="64583"/>
    <n v="8.99"/>
    <x v="58"/>
  </r>
  <r>
    <x v="15"/>
    <x v="0"/>
    <n v="778"/>
    <n v="401"/>
    <x v="59"/>
    <n v="50793"/>
    <n v="3.4"/>
    <x v="59"/>
  </r>
  <r>
    <x v="15"/>
    <x v="1"/>
    <n v="443"/>
    <n v="345"/>
    <x v="60"/>
    <n v="474162"/>
    <n v="9.1999999999999993"/>
    <x v="60"/>
  </r>
  <r>
    <x v="15"/>
    <x v="2"/>
    <n v="1472"/>
    <n v="347"/>
    <x v="61"/>
    <n v="392355"/>
    <n v="8.59"/>
    <x v="61"/>
  </r>
  <r>
    <x v="15"/>
    <x v="3"/>
    <n v="123"/>
    <n v="155"/>
    <x v="62"/>
    <n v="119934"/>
    <n v="3.5"/>
    <x v="62"/>
  </r>
  <r>
    <x v="16"/>
    <x v="0"/>
    <n v="817"/>
    <n v="151"/>
    <x v="63"/>
    <n v="422625"/>
    <n v="2.36"/>
    <x v="63"/>
  </r>
  <r>
    <x v="16"/>
    <x v="1"/>
    <n v="198"/>
    <n v="217"/>
    <x v="64"/>
    <n v="239753"/>
    <n v="7.36"/>
    <x v="64"/>
  </r>
  <r>
    <x v="16"/>
    <x v="2"/>
    <n v="1911"/>
    <n v="231"/>
    <x v="65"/>
    <n v="268516"/>
    <n v="8.5500000000000007"/>
    <x v="65"/>
  </r>
  <r>
    <x v="16"/>
    <x v="3"/>
    <n v="1218"/>
    <n v="212"/>
    <x v="66"/>
    <n v="63177"/>
    <n v="8.1300000000000008"/>
    <x v="66"/>
  </r>
  <r>
    <x v="17"/>
    <x v="0"/>
    <n v="1433"/>
    <n v="408"/>
    <x v="67"/>
    <n v="370269"/>
    <n v="3.3"/>
    <x v="67"/>
  </r>
  <r>
    <x v="17"/>
    <x v="1"/>
    <n v="250"/>
    <n v="429"/>
    <x v="68"/>
    <n v="453423"/>
    <n v="1.77"/>
    <x v="68"/>
  </r>
  <r>
    <x v="17"/>
    <x v="2"/>
    <n v="752"/>
    <n v="153"/>
    <x v="69"/>
    <n v="64906"/>
    <n v="2.09"/>
    <x v="69"/>
  </r>
  <r>
    <x v="17"/>
    <x v="3"/>
    <n v="1918"/>
    <n v="212"/>
    <x v="70"/>
    <n v="94360"/>
    <n v="7.36"/>
    <x v="70"/>
  </r>
  <r>
    <x v="18"/>
    <x v="0"/>
    <n v="1939"/>
    <n v="67"/>
    <x v="71"/>
    <n v="187183"/>
    <n v="6.25"/>
    <x v="71"/>
  </r>
  <r>
    <x v="18"/>
    <x v="1"/>
    <n v="1929"/>
    <n v="267"/>
    <x v="72"/>
    <n v="379363"/>
    <n v="1.75"/>
    <x v="72"/>
  </r>
  <r>
    <x v="18"/>
    <x v="2"/>
    <n v="437"/>
    <n v="330"/>
    <x v="73"/>
    <n v="476486"/>
    <n v="4.97"/>
    <x v="73"/>
  </r>
  <r>
    <x v="18"/>
    <x v="3"/>
    <n v="307"/>
    <n v="189"/>
    <x v="74"/>
    <n v="117767"/>
    <n v="9.3000000000000007"/>
    <x v="74"/>
  </r>
  <r>
    <x v="19"/>
    <x v="0"/>
    <n v="1527"/>
    <n v="303"/>
    <x v="75"/>
    <n v="388555"/>
    <n v="8.9"/>
    <x v="75"/>
  </r>
  <r>
    <x v="19"/>
    <x v="1"/>
    <n v="643"/>
    <n v="358"/>
    <x v="76"/>
    <n v="157599"/>
    <n v="3.88"/>
    <x v="76"/>
  </r>
  <r>
    <x v="19"/>
    <x v="2"/>
    <n v="201"/>
    <n v="221"/>
    <x v="77"/>
    <n v="309772"/>
    <n v="5.9"/>
    <x v="77"/>
  </r>
  <r>
    <x v="19"/>
    <x v="3"/>
    <n v="414"/>
    <n v="47"/>
    <x v="78"/>
    <n v="199178"/>
    <n v="1.53"/>
    <x v="78"/>
  </r>
  <r>
    <x v="20"/>
    <x v="0"/>
    <n v="703"/>
    <n v="441"/>
    <x v="79"/>
    <n v="357089"/>
    <n v="6.5"/>
    <x v="79"/>
  </r>
  <r>
    <x v="20"/>
    <x v="1"/>
    <n v="508"/>
    <n v="69"/>
    <x v="80"/>
    <n v="23492"/>
    <n v="3.16"/>
    <x v="80"/>
  </r>
  <r>
    <x v="20"/>
    <x v="2"/>
    <n v="697"/>
    <n v="61"/>
    <x v="81"/>
    <n v="258287"/>
    <n v="8.25"/>
    <x v="81"/>
  </r>
  <r>
    <x v="20"/>
    <x v="3"/>
    <n v="1707"/>
    <n v="223"/>
    <x v="82"/>
    <n v="256910"/>
    <n v="5.41"/>
    <x v="82"/>
  </r>
  <r>
    <x v="21"/>
    <x v="0"/>
    <n v="642"/>
    <n v="66"/>
    <x v="83"/>
    <n v="346522"/>
    <n v="5.85"/>
    <x v="83"/>
  </r>
  <r>
    <x v="21"/>
    <x v="1"/>
    <n v="859"/>
    <n v="473"/>
    <x v="84"/>
    <n v="209987"/>
    <n v="4.46"/>
    <x v="84"/>
  </r>
  <r>
    <x v="21"/>
    <x v="2"/>
    <n v="191"/>
    <n v="154"/>
    <x v="42"/>
    <n v="240550"/>
    <n v="5.22"/>
    <x v="85"/>
  </r>
  <r>
    <x v="21"/>
    <x v="3"/>
    <n v="1814"/>
    <n v="157"/>
    <x v="85"/>
    <n v="305827"/>
    <n v="1.99"/>
    <x v="86"/>
  </r>
  <r>
    <x v="22"/>
    <x v="0"/>
    <n v="1466"/>
    <n v="69"/>
    <x v="86"/>
    <n v="54935"/>
    <n v="6.85"/>
    <x v="87"/>
  </r>
  <r>
    <x v="22"/>
    <x v="1"/>
    <n v="947"/>
    <n v="407"/>
    <x v="87"/>
    <n v="319186"/>
    <n v="3.32"/>
    <x v="88"/>
  </r>
  <r>
    <x v="22"/>
    <x v="2"/>
    <n v="1821"/>
    <n v="218"/>
    <x v="88"/>
    <n v="439080"/>
    <n v="5.68"/>
    <x v="89"/>
  </r>
  <r>
    <x v="22"/>
    <x v="3"/>
    <n v="1507"/>
    <n v="463"/>
    <x v="89"/>
    <n v="258944"/>
    <n v="6.08"/>
    <x v="90"/>
  </r>
  <r>
    <x v="23"/>
    <x v="0"/>
    <n v="1075"/>
    <n v="173"/>
    <x v="90"/>
    <n v="51395"/>
    <n v="4.66"/>
    <x v="91"/>
  </r>
  <r>
    <x v="23"/>
    <x v="1"/>
    <n v="171"/>
    <n v="277"/>
    <x v="91"/>
    <n v="309483"/>
    <n v="8.6999999999999993"/>
    <x v="92"/>
  </r>
  <r>
    <x v="23"/>
    <x v="2"/>
    <n v="1487"/>
    <n v="337"/>
    <x v="92"/>
    <n v="87305"/>
    <n v="2.46"/>
    <x v="93"/>
  </r>
  <r>
    <x v="23"/>
    <x v="3"/>
    <n v="454"/>
    <n v="105"/>
    <x v="93"/>
    <n v="121091"/>
    <n v="7.97"/>
    <x v="94"/>
  </r>
  <r>
    <x v="24"/>
    <x v="0"/>
    <n v="187"/>
    <n v="236"/>
    <x v="94"/>
    <n v="51087"/>
    <n v="9.41"/>
    <x v="95"/>
  </r>
  <r>
    <x v="24"/>
    <x v="1"/>
    <n v="513"/>
    <n v="441"/>
    <x v="95"/>
    <n v="338847"/>
    <n v="2.68"/>
    <x v="96"/>
  </r>
  <r>
    <x v="24"/>
    <x v="2"/>
    <n v="628"/>
    <n v="183"/>
    <x v="96"/>
    <n v="487523"/>
    <n v="7.32"/>
    <x v="97"/>
  </r>
  <r>
    <x v="24"/>
    <x v="3"/>
    <n v="278"/>
    <n v="218"/>
    <x v="97"/>
    <n v="301695"/>
    <n v="4.68"/>
    <x v="98"/>
  </r>
  <r>
    <x v="25"/>
    <x v="0"/>
    <n v="1854"/>
    <n v="161"/>
    <x v="98"/>
    <n v="282466"/>
    <n v="5.17"/>
    <x v="99"/>
  </r>
  <r>
    <x v="25"/>
    <x v="1"/>
    <n v="1710"/>
    <n v="378"/>
    <x v="99"/>
    <n v="336661"/>
    <n v="6.2"/>
    <x v="100"/>
  </r>
  <r>
    <x v="25"/>
    <x v="2"/>
    <n v="330"/>
    <n v="232"/>
    <x v="60"/>
    <n v="88455"/>
    <n v="2.69"/>
    <x v="101"/>
  </r>
  <r>
    <x v="25"/>
    <x v="3"/>
    <n v="1293"/>
    <n v="408"/>
    <x v="100"/>
    <n v="62535"/>
    <n v="8.9"/>
    <x v="102"/>
  </r>
  <r>
    <x v="26"/>
    <x v="0"/>
    <n v="1696"/>
    <n v="71"/>
    <x v="101"/>
    <n v="421957"/>
    <n v="3.79"/>
    <x v="103"/>
  </r>
  <r>
    <x v="26"/>
    <x v="1"/>
    <n v="1902"/>
    <n v="196"/>
    <x v="70"/>
    <n v="470269"/>
    <n v="4.79"/>
    <x v="104"/>
  </r>
  <r>
    <x v="26"/>
    <x v="2"/>
    <n v="1441"/>
    <n v="268"/>
    <x v="102"/>
    <n v="309904"/>
    <n v="6.37"/>
    <x v="105"/>
  </r>
  <r>
    <x v="26"/>
    <x v="3"/>
    <n v="452"/>
    <n v="161"/>
    <x v="103"/>
    <n v="221274"/>
    <n v="2.65"/>
    <x v="106"/>
  </r>
  <r>
    <x v="27"/>
    <x v="0"/>
    <n v="1494"/>
    <n v="375"/>
    <x v="104"/>
    <n v="220616"/>
    <n v="1.81"/>
    <x v="107"/>
  </r>
  <r>
    <x v="27"/>
    <x v="1"/>
    <n v="1514"/>
    <n v="141"/>
    <x v="105"/>
    <n v="35842"/>
    <n v="7.47"/>
    <x v="108"/>
  </r>
  <r>
    <x v="27"/>
    <x v="2"/>
    <n v="1937"/>
    <n v="210"/>
    <x v="106"/>
    <n v="20607"/>
    <n v="4.2"/>
    <x v="109"/>
  </r>
  <r>
    <x v="27"/>
    <x v="3"/>
    <n v="736"/>
    <n v="163"/>
    <x v="107"/>
    <n v="451894"/>
    <n v="5.43"/>
    <x v="110"/>
  </r>
  <r>
    <x v="28"/>
    <x v="0"/>
    <n v="1502"/>
    <n v="70"/>
    <x v="108"/>
    <n v="465553"/>
    <n v="3.32"/>
    <x v="111"/>
  </r>
  <r>
    <x v="28"/>
    <x v="1"/>
    <n v="1623"/>
    <n v="246"/>
    <x v="109"/>
    <n v="415815"/>
    <n v="8.11"/>
    <x v="112"/>
  </r>
  <r>
    <x v="28"/>
    <x v="2"/>
    <n v="1592"/>
    <n v="233"/>
    <x v="110"/>
    <n v="327183"/>
    <n v="6.66"/>
    <x v="113"/>
  </r>
  <r>
    <x v="28"/>
    <x v="3"/>
    <n v="1004"/>
    <n v="128"/>
    <x v="111"/>
    <n v="488901"/>
    <n v="8.09"/>
    <x v="114"/>
  </r>
  <r>
    <x v="29"/>
    <x v="0"/>
    <n v="1092"/>
    <n v="408"/>
    <x v="112"/>
    <n v="280795"/>
    <n v="8.44"/>
    <x v="115"/>
  </r>
  <r>
    <x v="29"/>
    <x v="1"/>
    <n v="1155"/>
    <n v="425"/>
    <x v="113"/>
    <n v="93347"/>
    <n v="2.02"/>
    <x v="116"/>
  </r>
  <r>
    <x v="29"/>
    <x v="2"/>
    <n v="1137"/>
    <n v="226"/>
    <x v="114"/>
    <n v="81119"/>
    <n v="7.74"/>
    <x v="117"/>
  </r>
  <r>
    <x v="29"/>
    <x v="3"/>
    <n v="1900"/>
    <n v="311"/>
    <x v="115"/>
    <n v="25177"/>
    <n v="2.89"/>
    <x v="118"/>
  </r>
  <r>
    <x v="30"/>
    <x v="0"/>
    <n v="1814"/>
    <n v="49"/>
    <x v="116"/>
    <n v="140804"/>
    <n v="1.76"/>
    <x v="119"/>
  </r>
  <r>
    <x v="30"/>
    <x v="1"/>
    <n v="1980"/>
    <n v="204"/>
    <x v="117"/>
    <n v="379431"/>
    <n v="3.09"/>
    <x v="120"/>
  </r>
  <r>
    <x v="30"/>
    <x v="2"/>
    <n v="1786"/>
    <n v="257"/>
    <x v="118"/>
    <n v="274831"/>
    <n v="4.68"/>
    <x v="121"/>
  </r>
  <r>
    <x v="30"/>
    <x v="3"/>
    <n v="1495"/>
    <n v="35"/>
    <x v="119"/>
    <n v="136845"/>
    <n v="4.4800000000000004"/>
    <x v="122"/>
  </r>
  <r>
    <x v="31"/>
    <x v="0"/>
    <n v="1013"/>
    <n v="110"/>
    <x v="120"/>
    <n v="466382"/>
    <n v="5.3"/>
    <x v="123"/>
  </r>
  <r>
    <x v="31"/>
    <x v="1"/>
    <n v="816"/>
    <n v="196"/>
    <x v="121"/>
    <n v="95728"/>
    <n v="8.1999999999999993"/>
    <x v="124"/>
  </r>
  <r>
    <x v="31"/>
    <x v="2"/>
    <n v="1633"/>
    <n v="445"/>
    <x v="122"/>
    <n v="371156"/>
    <n v="2.2200000000000002"/>
    <x v="125"/>
  </r>
  <r>
    <x v="31"/>
    <x v="3"/>
    <n v="891"/>
    <n v="45"/>
    <x v="123"/>
    <n v="95410"/>
    <n v="8.33"/>
    <x v="126"/>
  </r>
  <r>
    <x v="32"/>
    <x v="0"/>
    <n v="1855"/>
    <n v="133"/>
    <x v="124"/>
    <n v="349413"/>
    <n v="3.3"/>
    <x v="127"/>
  </r>
  <r>
    <x v="32"/>
    <x v="1"/>
    <n v="651"/>
    <n v="353"/>
    <x v="125"/>
    <n v="224699"/>
    <n v="5.61"/>
    <x v="128"/>
  </r>
  <r>
    <x v="32"/>
    <x v="2"/>
    <n v="118"/>
    <n v="262"/>
    <x v="126"/>
    <n v="487896"/>
    <n v="2.56"/>
    <x v="129"/>
  </r>
  <r>
    <x v="32"/>
    <x v="3"/>
    <n v="1331"/>
    <n v="430"/>
    <x v="127"/>
    <n v="14437"/>
    <n v="3.29"/>
    <x v="130"/>
  </r>
  <r>
    <x v="33"/>
    <x v="0"/>
    <n v="1748"/>
    <n v="176"/>
    <x v="55"/>
    <n v="383681"/>
    <n v="9.24"/>
    <x v="131"/>
  </r>
  <r>
    <x v="33"/>
    <x v="1"/>
    <n v="663"/>
    <n v="236"/>
    <x v="128"/>
    <n v="479490"/>
    <n v="4.51"/>
    <x v="132"/>
  </r>
  <r>
    <x v="33"/>
    <x v="2"/>
    <n v="1040"/>
    <n v="149"/>
    <x v="129"/>
    <n v="124404"/>
    <n v="5.23"/>
    <x v="133"/>
  </r>
  <r>
    <x v="33"/>
    <x v="3"/>
    <n v="1166"/>
    <n v="442"/>
    <x v="130"/>
    <n v="336949"/>
    <n v="4.68"/>
    <x v="134"/>
  </r>
  <r>
    <x v="34"/>
    <x v="0"/>
    <n v="115"/>
    <n v="281"/>
    <x v="131"/>
    <n v="357265"/>
    <n v="9.23"/>
    <x v="135"/>
  </r>
  <r>
    <x v="34"/>
    <x v="1"/>
    <n v="1249"/>
    <n v="351"/>
    <x v="132"/>
    <n v="321307"/>
    <n v="6.37"/>
    <x v="136"/>
  </r>
  <r>
    <x v="34"/>
    <x v="2"/>
    <n v="1501"/>
    <n v="75"/>
    <x v="133"/>
    <n v="262569"/>
    <n v="2.0099999999999998"/>
    <x v="137"/>
  </r>
  <r>
    <x v="34"/>
    <x v="3"/>
    <n v="1411"/>
    <n v="186"/>
    <x v="134"/>
    <n v="461669"/>
    <n v="3.72"/>
    <x v="138"/>
  </r>
  <r>
    <x v="35"/>
    <x v="0"/>
    <n v="1556"/>
    <n v="476"/>
    <x v="135"/>
    <n v="351556"/>
    <n v="3.89"/>
    <x v="139"/>
  </r>
  <r>
    <x v="35"/>
    <x v="1"/>
    <n v="1159"/>
    <n v="411"/>
    <x v="136"/>
    <n v="135987"/>
    <n v="8.6999999999999993"/>
    <x v="140"/>
  </r>
  <r>
    <x v="35"/>
    <x v="2"/>
    <n v="927"/>
    <n v="358"/>
    <x v="137"/>
    <n v="177554"/>
    <n v="6.95"/>
    <x v="141"/>
  </r>
  <r>
    <x v="35"/>
    <x v="3"/>
    <n v="152"/>
    <n v="355"/>
    <x v="138"/>
    <n v="270766"/>
    <n v="9.48"/>
    <x v="142"/>
  </r>
  <r>
    <x v="36"/>
    <x v="0"/>
    <n v="1957"/>
    <n v="234"/>
    <x v="139"/>
    <n v="222126"/>
    <n v="4.6100000000000003"/>
    <x v="143"/>
  </r>
  <r>
    <x v="36"/>
    <x v="1"/>
    <n v="1294"/>
    <n v="382"/>
    <x v="140"/>
    <n v="309914"/>
    <n v="8.0299999999999994"/>
    <x v="144"/>
  </r>
  <r>
    <x v="36"/>
    <x v="2"/>
    <n v="1587"/>
    <n v="385"/>
    <x v="141"/>
    <n v="126582"/>
    <n v="6.99"/>
    <x v="145"/>
  </r>
  <r>
    <x v="36"/>
    <x v="3"/>
    <n v="1707"/>
    <n v="263"/>
    <x v="142"/>
    <n v="485280"/>
    <n v="9.0299999999999994"/>
    <x v="146"/>
  </r>
  <r>
    <x v="37"/>
    <x v="0"/>
    <n v="1138"/>
    <n v="173"/>
    <x v="143"/>
    <n v="453243"/>
    <n v="2.86"/>
    <x v="147"/>
  </r>
  <r>
    <x v="37"/>
    <x v="1"/>
    <n v="1895"/>
    <n v="305"/>
    <x v="144"/>
    <n v="104967"/>
    <n v="3.85"/>
    <x v="148"/>
  </r>
  <r>
    <x v="37"/>
    <x v="2"/>
    <n v="362"/>
    <n v="399"/>
    <x v="145"/>
    <n v="145608"/>
    <n v="7.3"/>
    <x v="149"/>
  </r>
  <r>
    <x v="37"/>
    <x v="3"/>
    <n v="1662"/>
    <n v="487"/>
    <x v="146"/>
    <n v="105980"/>
    <n v="9.08"/>
    <x v="150"/>
  </r>
  <r>
    <x v="38"/>
    <x v="0"/>
    <n v="1440"/>
    <n v="65"/>
    <x v="147"/>
    <n v="126524"/>
    <n v="4.34"/>
    <x v="151"/>
  </r>
  <r>
    <x v="38"/>
    <x v="1"/>
    <n v="1884"/>
    <n v="177"/>
    <x v="148"/>
    <n v="230448"/>
    <n v="7.8"/>
    <x v="152"/>
  </r>
  <r>
    <x v="38"/>
    <x v="2"/>
    <n v="861"/>
    <n v="153"/>
    <x v="149"/>
    <n v="317007"/>
    <n v="3.85"/>
    <x v="153"/>
  </r>
  <r>
    <x v="38"/>
    <x v="3"/>
    <n v="1063"/>
    <n v="47"/>
    <x v="150"/>
    <n v="464239"/>
    <n v="6.58"/>
    <x v="154"/>
  </r>
  <r>
    <x v="39"/>
    <x v="0"/>
    <n v="1371"/>
    <n v="56"/>
    <x v="151"/>
    <n v="257579"/>
    <n v="8.6199999999999992"/>
    <x v="155"/>
  </r>
  <r>
    <x v="39"/>
    <x v="1"/>
    <n v="345"/>
    <n v="464"/>
    <x v="152"/>
    <n v="366881"/>
    <n v="4.55"/>
    <x v="156"/>
  </r>
  <r>
    <x v="39"/>
    <x v="2"/>
    <n v="946"/>
    <n v="47"/>
    <x v="153"/>
    <n v="466575"/>
    <n v="8.33"/>
    <x v="157"/>
  </r>
  <r>
    <x v="39"/>
    <x v="3"/>
    <n v="510"/>
    <n v="195"/>
    <x v="154"/>
    <n v="224534"/>
    <n v="9.4"/>
    <x v="158"/>
  </r>
  <r>
    <x v="40"/>
    <x v="0"/>
    <n v="393"/>
    <n v="181"/>
    <x v="155"/>
    <n v="462142"/>
    <n v="7.23"/>
    <x v="159"/>
  </r>
  <r>
    <x v="40"/>
    <x v="1"/>
    <n v="1098"/>
    <n v="190"/>
    <x v="156"/>
    <n v="340842"/>
    <n v="9.39"/>
    <x v="160"/>
  </r>
  <r>
    <x v="40"/>
    <x v="2"/>
    <n v="1399"/>
    <n v="49"/>
    <x v="157"/>
    <n v="12471"/>
    <n v="5.12"/>
    <x v="161"/>
  </r>
  <r>
    <x v="40"/>
    <x v="3"/>
    <n v="1658"/>
    <n v="416"/>
    <x v="158"/>
    <n v="98397"/>
    <n v="6.11"/>
    <x v="162"/>
  </r>
  <r>
    <x v="41"/>
    <x v="0"/>
    <n v="1102"/>
    <n v="422"/>
    <x v="159"/>
    <n v="410330"/>
    <n v="7.74"/>
    <x v="163"/>
  </r>
  <r>
    <x v="41"/>
    <x v="1"/>
    <n v="1358"/>
    <n v="242"/>
    <x v="160"/>
    <n v="342129"/>
    <n v="4.9400000000000004"/>
    <x v="164"/>
  </r>
  <r>
    <x v="41"/>
    <x v="2"/>
    <n v="1077"/>
    <n v="216"/>
    <x v="161"/>
    <n v="12447"/>
    <n v="1.8"/>
    <x v="165"/>
  </r>
  <r>
    <x v="41"/>
    <x v="3"/>
    <n v="1596"/>
    <n v="211"/>
    <x v="162"/>
    <n v="17380"/>
    <n v="8.64"/>
    <x v="166"/>
  </r>
  <r>
    <x v="42"/>
    <x v="0"/>
    <n v="490"/>
    <n v="29"/>
    <x v="163"/>
    <n v="364810"/>
    <n v="1.53"/>
    <x v="167"/>
  </r>
  <r>
    <x v="42"/>
    <x v="1"/>
    <n v="609"/>
    <n v="135"/>
    <x v="164"/>
    <n v="373606"/>
    <n v="8.52"/>
    <x v="168"/>
  </r>
  <r>
    <x v="42"/>
    <x v="2"/>
    <n v="364"/>
    <n v="72"/>
    <x v="165"/>
    <n v="211090"/>
    <n v="5.53"/>
    <x v="169"/>
  </r>
  <r>
    <x v="42"/>
    <x v="3"/>
    <n v="442"/>
    <n v="53"/>
    <x v="166"/>
    <n v="441931"/>
    <n v="1.87"/>
    <x v="170"/>
  </r>
  <r>
    <x v="43"/>
    <x v="0"/>
    <n v="1033"/>
    <n v="392"/>
    <x v="167"/>
    <n v="282780"/>
    <n v="6.27"/>
    <x v="171"/>
  </r>
  <r>
    <x v="43"/>
    <x v="1"/>
    <n v="988"/>
    <n v="474"/>
    <x v="23"/>
    <n v="370070"/>
    <n v="9.4600000000000009"/>
    <x v="172"/>
  </r>
  <r>
    <x v="43"/>
    <x v="2"/>
    <n v="1946"/>
    <n v="270"/>
    <x v="168"/>
    <n v="198350"/>
    <n v="7.5"/>
    <x v="173"/>
  </r>
  <r>
    <x v="43"/>
    <x v="3"/>
    <n v="1957"/>
    <n v="490"/>
    <x v="169"/>
    <n v="435726"/>
    <n v="4.7300000000000004"/>
    <x v="174"/>
  </r>
  <r>
    <x v="44"/>
    <x v="0"/>
    <n v="559"/>
    <n v="392"/>
    <x v="170"/>
    <n v="78789"/>
    <n v="3.19"/>
    <x v="175"/>
  </r>
  <r>
    <x v="44"/>
    <x v="1"/>
    <n v="1307"/>
    <n v="278"/>
    <x v="171"/>
    <n v="98596"/>
    <n v="2.4900000000000002"/>
    <x v="176"/>
  </r>
  <r>
    <x v="44"/>
    <x v="2"/>
    <n v="1432"/>
    <n v="425"/>
    <x v="172"/>
    <n v="29589"/>
    <n v="4.5"/>
    <x v="177"/>
  </r>
  <r>
    <x v="44"/>
    <x v="3"/>
    <n v="623"/>
    <n v="414"/>
    <x v="173"/>
    <n v="290354"/>
    <n v="6.49"/>
    <x v="178"/>
  </r>
  <r>
    <x v="45"/>
    <x v="0"/>
    <n v="198"/>
    <n v="358"/>
    <x v="174"/>
    <n v="66682"/>
    <n v="6.73"/>
    <x v="179"/>
  </r>
  <r>
    <x v="45"/>
    <x v="1"/>
    <n v="198"/>
    <n v="373"/>
    <x v="175"/>
    <n v="70707"/>
    <n v="4.83"/>
    <x v="180"/>
  </r>
  <r>
    <x v="45"/>
    <x v="2"/>
    <n v="353"/>
    <n v="300"/>
    <x v="176"/>
    <n v="142507"/>
    <n v="5.3"/>
    <x v="181"/>
  </r>
  <r>
    <x v="45"/>
    <x v="3"/>
    <n v="520"/>
    <n v="375"/>
    <x v="177"/>
    <n v="369525"/>
    <n v="6.54"/>
    <x v="182"/>
  </r>
  <r>
    <x v="46"/>
    <x v="0"/>
    <n v="961"/>
    <n v="358"/>
    <x v="178"/>
    <n v="62942"/>
    <n v="6.8"/>
    <x v="183"/>
  </r>
  <r>
    <x v="46"/>
    <x v="1"/>
    <n v="1375"/>
    <n v="330"/>
    <x v="52"/>
    <n v="377382"/>
    <n v="2.6"/>
    <x v="184"/>
  </r>
  <r>
    <x v="46"/>
    <x v="2"/>
    <n v="1147"/>
    <n v="388"/>
    <x v="179"/>
    <n v="333851"/>
    <n v="2.44"/>
    <x v="185"/>
  </r>
  <r>
    <x v="46"/>
    <x v="3"/>
    <n v="1707"/>
    <n v="74"/>
    <x v="180"/>
    <n v="270958"/>
    <n v="3.09"/>
    <x v="186"/>
  </r>
  <r>
    <x v="47"/>
    <x v="0"/>
    <n v="1693"/>
    <n v="154"/>
    <x v="181"/>
    <n v="445944"/>
    <n v="5.69"/>
    <x v="187"/>
  </r>
  <r>
    <x v="47"/>
    <x v="1"/>
    <n v="833"/>
    <n v="380"/>
    <x v="182"/>
    <n v="224830"/>
    <n v="3.86"/>
    <x v="188"/>
  </r>
  <r>
    <x v="47"/>
    <x v="2"/>
    <n v="1222"/>
    <n v="274"/>
    <x v="183"/>
    <n v="487289"/>
    <n v="3.16"/>
    <x v="189"/>
  </r>
  <r>
    <x v="47"/>
    <x v="3"/>
    <n v="777"/>
    <n v="140"/>
    <x v="184"/>
    <n v="11435"/>
    <n v="1.6"/>
    <x v="190"/>
  </r>
  <r>
    <x v="48"/>
    <x v="0"/>
    <n v="1957"/>
    <n v="76"/>
    <x v="185"/>
    <n v="447902"/>
    <n v="6.09"/>
    <x v="191"/>
  </r>
  <r>
    <x v="48"/>
    <x v="1"/>
    <n v="405"/>
    <n v="66"/>
    <x v="186"/>
    <n v="418696"/>
    <n v="5.59"/>
    <x v="192"/>
  </r>
  <r>
    <x v="48"/>
    <x v="2"/>
    <n v="1581"/>
    <n v="71"/>
    <x v="187"/>
    <n v="484364"/>
    <n v="3.55"/>
    <x v="193"/>
  </r>
  <r>
    <x v="48"/>
    <x v="3"/>
    <n v="1035"/>
    <n v="171"/>
    <x v="188"/>
    <n v="148477"/>
    <n v="5.21"/>
    <x v="194"/>
  </r>
  <r>
    <x v="49"/>
    <x v="0"/>
    <n v="1765"/>
    <n v="109"/>
    <x v="189"/>
    <n v="468301"/>
    <n v="1.82"/>
    <x v="195"/>
  </r>
  <r>
    <x v="49"/>
    <x v="1"/>
    <n v="837"/>
    <n v="430"/>
    <x v="190"/>
    <n v="364820"/>
    <n v="4"/>
    <x v="196"/>
  </r>
  <r>
    <x v="49"/>
    <x v="2"/>
    <n v="337"/>
    <n v="68"/>
    <x v="191"/>
    <n v="456298"/>
    <n v="7.57"/>
    <x v="197"/>
  </r>
  <r>
    <x v="49"/>
    <x v="3"/>
    <n v="119"/>
    <n v="456"/>
    <x v="192"/>
    <n v="82558"/>
    <n v="6.81"/>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0E9D2-5F6B-4545-A13D-44AA7372B8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55" firstHeaderRow="1" firstDataRow="2" firstDataCol="1"/>
  <pivotFields count="8">
    <pivotField axis="axisRow" showAll="0">
      <items count="51">
        <item x="32"/>
        <item x="33"/>
        <item x="34"/>
        <item x="19"/>
        <item x="20"/>
        <item x="21"/>
        <item x="24"/>
        <item x="25"/>
        <item x="28"/>
        <item x="29"/>
        <item x="30"/>
        <item x="37"/>
        <item x="38"/>
        <item x="41"/>
        <item x="42"/>
        <item x="43"/>
        <item x="45"/>
        <item x="46"/>
        <item x="47"/>
        <item x="2"/>
        <item x="3"/>
        <item x="6"/>
        <item x="7"/>
        <item x="8"/>
        <item x="11"/>
        <item x="12"/>
        <item x="15"/>
        <item x="16"/>
        <item x="17"/>
        <item x="4"/>
        <item x="13"/>
        <item x="26"/>
        <item x="0"/>
        <item x="22"/>
        <item x="9"/>
        <item x="18"/>
        <item x="5"/>
        <item x="14"/>
        <item x="27"/>
        <item x="1"/>
        <item x="23"/>
        <item x="10"/>
        <item x="35"/>
        <item x="39"/>
        <item x="48"/>
        <item x="31"/>
        <item x="44"/>
        <item x="36"/>
        <item x="40"/>
        <item x="49"/>
        <item t="default"/>
      </items>
    </pivotField>
    <pivotField axis="axisCol" showAll="0">
      <items count="5">
        <item x="1"/>
        <item x="0"/>
        <item x="2"/>
        <item x="3"/>
        <item t="default"/>
      </items>
    </pivotField>
    <pivotField showAll="0"/>
    <pivotField showAll="0"/>
    <pivotField dataField="1" showAll="0"/>
    <pivotField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followers" fld="4" baseField="0" baseItem="0"/>
  </dataFields>
  <chartFormats count="20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04">
      <pivotArea type="data" outline="0" fieldPosition="0">
        <references count="3">
          <reference field="4294967294" count="1" selected="0">
            <x v="0"/>
          </reference>
          <reference field="0" count="1" selected="0">
            <x v="0"/>
          </reference>
          <reference field="1" count="1" selected="0">
            <x v="0"/>
          </reference>
        </references>
      </pivotArea>
    </chartFormat>
    <chartFormat chart="0" format="405">
      <pivotArea type="data" outline="0" fieldPosition="0">
        <references count="3">
          <reference field="4294967294" count="1" selected="0">
            <x v="0"/>
          </reference>
          <reference field="0" count="1" selected="0">
            <x v="1"/>
          </reference>
          <reference field="1" count="1" selected="0">
            <x v="0"/>
          </reference>
        </references>
      </pivotArea>
    </chartFormat>
    <chartFormat chart="0" format="406">
      <pivotArea type="data" outline="0" fieldPosition="0">
        <references count="3">
          <reference field="4294967294" count="1" selected="0">
            <x v="0"/>
          </reference>
          <reference field="0" count="1" selected="0">
            <x v="2"/>
          </reference>
          <reference field="1" count="1" selected="0">
            <x v="0"/>
          </reference>
        </references>
      </pivotArea>
    </chartFormat>
    <chartFormat chart="0" format="407">
      <pivotArea type="data" outline="0" fieldPosition="0">
        <references count="3">
          <reference field="4294967294" count="1" selected="0">
            <x v="0"/>
          </reference>
          <reference field="0" count="1" selected="0">
            <x v="3"/>
          </reference>
          <reference field="1" count="1" selected="0">
            <x v="0"/>
          </reference>
        </references>
      </pivotArea>
    </chartFormat>
    <chartFormat chart="0" format="408">
      <pivotArea type="data" outline="0" fieldPosition="0">
        <references count="3">
          <reference field="4294967294" count="1" selected="0">
            <x v="0"/>
          </reference>
          <reference field="0" count="1" selected="0">
            <x v="4"/>
          </reference>
          <reference field="1" count="1" selected="0">
            <x v="0"/>
          </reference>
        </references>
      </pivotArea>
    </chartFormat>
    <chartFormat chart="0" format="409">
      <pivotArea type="data" outline="0" fieldPosition="0">
        <references count="3">
          <reference field="4294967294" count="1" selected="0">
            <x v="0"/>
          </reference>
          <reference field="0" count="1" selected="0">
            <x v="5"/>
          </reference>
          <reference field="1" count="1" selected="0">
            <x v="0"/>
          </reference>
        </references>
      </pivotArea>
    </chartFormat>
    <chartFormat chart="0" format="410">
      <pivotArea type="data" outline="0" fieldPosition="0">
        <references count="3">
          <reference field="4294967294" count="1" selected="0">
            <x v="0"/>
          </reference>
          <reference field="0" count="1" selected="0">
            <x v="6"/>
          </reference>
          <reference field="1" count="1" selected="0">
            <x v="0"/>
          </reference>
        </references>
      </pivotArea>
    </chartFormat>
    <chartFormat chart="0" format="411">
      <pivotArea type="data" outline="0" fieldPosition="0">
        <references count="3">
          <reference field="4294967294" count="1" selected="0">
            <x v="0"/>
          </reference>
          <reference field="0" count="1" selected="0">
            <x v="7"/>
          </reference>
          <reference field="1" count="1" selected="0">
            <x v="0"/>
          </reference>
        </references>
      </pivotArea>
    </chartFormat>
    <chartFormat chart="0" format="412">
      <pivotArea type="data" outline="0" fieldPosition="0">
        <references count="3">
          <reference field="4294967294" count="1" selected="0">
            <x v="0"/>
          </reference>
          <reference field="0" count="1" selected="0">
            <x v="8"/>
          </reference>
          <reference field="1" count="1" selected="0">
            <x v="0"/>
          </reference>
        </references>
      </pivotArea>
    </chartFormat>
    <chartFormat chart="0" format="413">
      <pivotArea type="data" outline="0" fieldPosition="0">
        <references count="3">
          <reference field="4294967294" count="1" selected="0">
            <x v="0"/>
          </reference>
          <reference field="0" count="1" selected="0">
            <x v="9"/>
          </reference>
          <reference field="1" count="1" selected="0">
            <x v="0"/>
          </reference>
        </references>
      </pivotArea>
    </chartFormat>
    <chartFormat chart="0" format="414">
      <pivotArea type="data" outline="0" fieldPosition="0">
        <references count="3">
          <reference field="4294967294" count="1" selected="0">
            <x v="0"/>
          </reference>
          <reference field="0" count="1" selected="0">
            <x v="10"/>
          </reference>
          <reference field="1" count="1" selected="0">
            <x v="0"/>
          </reference>
        </references>
      </pivotArea>
    </chartFormat>
    <chartFormat chart="0" format="415">
      <pivotArea type="data" outline="0" fieldPosition="0">
        <references count="3">
          <reference field="4294967294" count="1" selected="0">
            <x v="0"/>
          </reference>
          <reference field="0" count="1" selected="0">
            <x v="11"/>
          </reference>
          <reference field="1" count="1" selected="0">
            <x v="0"/>
          </reference>
        </references>
      </pivotArea>
    </chartFormat>
    <chartFormat chart="0" format="416">
      <pivotArea type="data" outline="0" fieldPosition="0">
        <references count="3">
          <reference field="4294967294" count="1" selected="0">
            <x v="0"/>
          </reference>
          <reference field="0" count="1" selected="0">
            <x v="12"/>
          </reference>
          <reference field="1" count="1" selected="0">
            <x v="0"/>
          </reference>
        </references>
      </pivotArea>
    </chartFormat>
    <chartFormat chart="0" format="417">
      <pivotArea type="data" outline="0" fieldPosition="0">
        <references count="3">
          <reference field="4294967294" count="1" selected="0">
            <x v="0"/>
          </reference>
          <reference field="0" count="1" selected="0">
            <x v="13"/>
          </reference>
          <reference field="1" count="1" selected="0">
            <x v="0"/>
          </reference>
        </references>
      </pivotArea>
    </chartFormat>
    <chartFormat chart="0" format="418">
      <pivotArea type="data" outline="0" fieldPosition="0">
        <references count="3">
          <reference field="4294967294" count="1" selected="0">
            <x v="0"/>
          </reference>
          <reference field="0" count="1" selected="0">
            <x v="14"/>
          </reference>
          <reference field="1" count="1" selected="0">
            <x v="0"/>
          </reference>
        </references>
      </pivotArea>
    </chartFormat>
    <chartFormat chart="0" format="419">
      <pivotArea type="data" outline="0" fieldPosition="0">
        <references count="3">
          <reference field="4294967294" count="1" selected="0">
            <x v="0"/>
          </reference>
          <reference field="0" count="1" selected="0">
            <x v="15"/>
          </reference>
          <reference field="1" count="1" selected="0">
            <x v="0"/>
          </reference>
        </references>
      </pivotArea>
    </chartFormat>
    <chartFormat chart="0" format="420">
      <pivotArea type="data" outline="0" fieldPosition="0">
        <references count="3">
          <reference field="4294967294" count="1" selected="0">
            <x v="0"/>
          </reference>
          <reference field="0" count="1" selected="0">
            <x v="16"/>
          </reference>
          <reference field="1" count="1" selected="0">
            <x v="0"/>
          </reference>
        </references>
      </pivotArea>
    </chartFormat>
    <chartFormat chart="0" format="421">
      <pivotArea type="data" outline="0" fieldPosition="0">
        <references count="3">
          <reference field="4294967294" count="1" selected="0">
            <x v="0"/>
          </reference>
          <reference field="0" count="1" selected="0">
            <x v="17"/>
          </reference>
          <reference field="1" count="1" selected="0">
            <x v="0"/>
          </reference>
        </references>
      </pivotArea>
    </chartFormat>
    <chartFormat chart="0" format="422">
      <pivotArea type="data" outline="0" fieldPosition="0">
        <references count="3">
          <reference field="4294967294" count="1" selected="0">
            <x v="0"/>
          </reference>
          <reference field="0" count="1" selected="0">
            <x v="18"/>
          </reference>
          <reference field="1" count="1" selected="0">
            <x v="0"/>
          </reference>
        </references>
      </pivotArea>
    </chartFormat>
    <chartFormat chart="0" format="423">
      <pivotArea type="data" outline="0" fieldPosition="0">
        <references count="3">
          <reference field="4294967294" count="1" selected="0">
            <x v="0"/>
          </reference>
          <reference field="0" count="1" selected="0">
            <x v="19"/>
          </reference>
          <reference field="1" count="1" selected="0">
            <x v="0"/>
          </reference>
        </references>
      </pivotArea>
    </chartFormat>
    <chartFormat chart="0" format="424">
      <pivotArea type="data" outline="0" fieldPosition="0">
        <references count="3">
          <reference field="4294967294" count="1" selected="0">
            <x v="0"/>
          </reference>
          <reference field="0" count="1" selected="0">
            <x v="20"/>
          </reference>
          <reference field="1" count="1" selected="0">
            <x v="0"/>
          </reference>
        </references>
      </pivotArea>
    </chartFormat>
    <chartFormat chart="0" format="425">
      <pivotArea type="data" outline="0" fieldPosition="0">
        <references count="3">
          <reference field="4294967294" count="1" selected="0">
            <x v="0"/>
          </reference>
          <reference field="0" count="1" selected="0">
            <x v="21"/>
          </reference>
          <reference field="1" count="1" selected="0">
            <x v="0"/>
          </reference>
        </references>
      </pivotArea>
    </chartFormat>
    <chartFormat chart="0" format="426">
      <pivotArea type="data" outline="0" fieldPosition="0">
        <references count="3">
          <reference field="4294967294" count="1" selected="0">
            <x v="0"/>
          </reference>
          <reference field="0" count="1" selected="0">
            <x v="22"/>
          </reference>
          <reference field="1" count="1" selected="0">
            <x v="0"/>
          </reference>
        </references>
      </pivotArea>
    </chartFormat>
    <chartFormat chart="0" format="427">
      <pivotArea type="data" outline="0" fieldPosition="0">
        <references count="3">
          <reference field="4294967294" count="1" selected="0">
            <x v="0"/>
          </reference>
          <reference field="0" count="1" selected="0">
            <x v="23"/>
          </reference>
          <reference field="1" count="1" selected="0">
            <x v="0"/>
          </reference>
        </references>
      </pivotArea>
    </chartFormat>
    <chartFormat chart="0" format="428">
      <pivotArea type="data" outline="0" fieldPosition="0">
        <references count="3">
          <reference field="4294967294" count="1" selected="0">
            <x v="0"/>
          </reference>
          <reference field="0" count="1" selected="0">
            <x v="24"/>
          </reference>
          <reference field="1" count="1" selected="0">
            <x v="0"/>
          </reference>
        </references>
      </pivotArea>
    </chartFormat>
    <chartFormat chart="0" format="429">
      <pivotArea type="data" outline="0" fieldPosition="0">
        <references count="3">
          <reference field="4294967294" count="1" selected="0">
            <x v="0"/>
          </reference>
          <reference field="0" count="1" selected="0">
            <x v="25"/>
          </reference>
          <reference field="1" count="1" selected="0">
            <x v="0"/>
          </reference>
        </references>
      </pivotArea>
    </chartFormat>
    <chartFormat chart="0" format="430">
      <pivotArea type="data" outline="0" fieldPosition="0">
        <references count="3">
          <reference field="4294967294" count="1" selected="0">
            <x v="0"/>
          </reference>
          <reference field="0" count="1" selected="0">
            <x v="26"/>
          </reference>
          <reference field="1" count="1" selected="0">
            <x v="0"/>
          </reference>
        </references>
      </pivotArea>
    </chartFormat>
    <chartFormat chart="0" format="431">
      <pivotArea type="data" outline="0" fieldPosition="0">
        <references count="3">
          <reference field="4294967294" count="1" selected="0">
            <x v="0"/>
          </reference>
          <reference field="0" count="1" selected="0">
            <x v="27"/>
          </reference>
          <reference field="1" count="1" selected="0">
            <x v="0"/>
          </reference>
        </references>
      </pivotArea>
    </chartFormat>
    <chartFormat chart="0" format="432">
      <pivotArea type="data" outline="0" fieldPosition="0">
        <references count="3">
          <reference field="4294967294" count="1" selected="0">
            <x v="0"/>
          </reference>
          <reference field="0" count="1" selected="0">
            <x v="28"/>
          </reference>
          <reference field="1" count="1" selected="0">
            <x v="0"/>
          </reference>
        </references>
      </pivotArea>
    </chartFormat>
    <chartFormat chart="0" format="433">
      <pivotArea type="data" outline="0" fieldPosition="0">
        <references count="3">
          <reference field="4294967294" count="1" selected="0">
            <x v="0"/>
          </reference>
          <reference field="0" count="1" selected="0">
            <x v="29"/>
          </reference>
          <reference field="1" count="1" selected="0">
            <x v="0"/>
          </reference>
        </references>
      </pivotArea>
    </chartFormat>
    <chartFormat chart="0" format="434">
      <pivotArea type="data" outline="0" fieldPosition="0">
        <references count="3">
          <reference field="4294967294" count="1" selected="0">
            <x v="0"/>
          </reference>
          <reference field="0" count="1" selected="0">
            <x v="30"/>
          </reference>
          <reference field="1" count="1" selected="0">
            <x v="0"/>
          </reference>
        </references>
      </pivotArea>
    </chartFormat>
    <chartFormat chart="0" format="435">
      <pivotArea type="data" outline="0" fieldPosition="0">
        <references count="3">
          <reference field="4294967294" count="1" selected="0">
            <x v="0"/>
          </reference>
          <reference field="0" count="1" selected="0">
            <x v="31"/>
          </reference>
          <reference field="1" count="1" selected="0">
            <x v="0"/>
          </reference>
        </references>
      </pivotArea>
    </chartFormat>
    <chartFormat chart="0" format="436">
      <pivotArea type="data" outline="0" fieldPosition="0">
        <references count="3">
          <reference field="4294967294" count="1" selected="0">
            <x v="0"/>
          </reference>
          <reference field="0" count="1" selected="0">
            <x v="32"/>
          </reference>
          <reference field="1" count="1" selected="0">
            <x v="0"/>
          </reference>
        </references>
      </pivotArea>
    </chartFormat>
    <chartFormat chart="0" format="437">
      <pivotArea type="data" outline="0" fieldPosition="0">
        <references count="3">
          <reference field="4294967294" count="1" selected="0">
            <x v="0"/>
          </reference>
          <reference field="0" count="1" selected="0">
            <x v="33"/>
          </reference>
          <reference field="1" count="1" selected="0">
            <x v="0"/>
          </reference>
        </references>
      </pivotArea>
    </chartFormat>
    <chartFormat chart="0" format="438">
      <pivotArea type="data" outline="0" fieldPosition="0">
        <references count="3">
          <reference field="4294967294" count="1" selected="0">
            <x v="0"/>
          </reference>
          <reference field="0" count="1" selected="0">
            <x v="34"/>
          </reference>
          <reference field="1" count="1" selected="0">
            <x v="0"/>
          </reference>
        </references>
      </pivotArea>
    </chartFormat>
    <chartFormat chart="0" format="439">
      <pivotArea type="data" outline="0" fieldPosition="0">
        <references count="3">
          <reference field="4294967294" count="1" selected="0">
            <x v="0"/>
          </reference>
          <reference field="0" count="1" selected="0">
            <x v="35"/>
          </reference>
          <reference field="1" count="1" selected="0">
            <x v="0"/>
          </reference>
        </references>
      </pivotArea>
    </chartFormat>
    <chartFormat chart="0" format="440">
      <pivotArea type="data" outline="0" fieldPosition="0">
        <references count="3">
          <reference field="4294967294" count="1" selected="0">
            <x v="0"/>
          </reference>
          <reference field="0" count="1" selected="0">
            <x v="36"/>
          </reference>
          <reference field="1" count="1" selected="0">
            <x v="0"/>
          </reference>
        </references>
      </pivotArea>
    </chartFormat>
    <chartFormat chart="0" format="441">
      <pivotArea type="data" outline="0" fieldPosition="0">
        <references count="3">
          <reference field="4294967294" count="1" selected="0">
            <x v="0"/>
          </reference>
          <reference field="0" count="1" selected="0">
            <x v="37"/>
          </reference>
          <reference field="1" count="1" selected="0">
            <x v="0"/>
          </reference>
        </references>
      </pivotArea>
    </chartFormat>
    <chartFormat chart="0" format="442">
      <pivotArea type="data" outline="0" fieldPosition="0">
        <references count="3">
          <reference field="4294967294" count="1" selected="0">
            <x v="0"/>
          </reference>
          <reference field="0" count="1" selected="0">
            <x v="38"/>
          </reference>
          <reference field="1" count="1" selected="0">
            <x v="0"/>
          </reference>
        </references>
      </pivotArea>
    </chartFormat>
    <chartFormat chart="0" format="443">
      <pivotArea type="data" outline="0" fieldPosition="0">
        <references count="3">
          <reference field="4294967294" count="1" selected="0">
            <x v="0"/>
          </reference>
          <reference field="0" count="1" selected="0">
            <x v="39"/>
          </reference>
          <reference field="1" count="1" selected="0">
            <x v="0"/>
          </reference>
        </references>
      </pivotArea>
    </chartFormat>
    <chartFormat chart="0" format="444">
      <pivotArea type="data" outline="0" fieldPosition="0">
        <references count="3">
          <reference field="4294967294" count="1" selected="0">
            <x v="0"/>
          </reference>
          <reference field="0" count="1" selected="0">
            <x v="40"/>
          </reference>
          <reference field="1" count="1" selected="0">
            <x v="0"/>
          </reference>
        </references>
      </pivotArea>
    </chartFormat>
    <chartFormat chart="0" format="445">
      <pivotArea type="data" outline="0" fieldPosition="0">
        <references count="3">
          <reference field="4294967294" count="1" selected="0">
            <x v="0"/>
          </reference>
          <reference field="0" count="1" selected="0">
            <x v="41"/>
          </reference>
          <reference field="1" count="1" selected="0">
            <x v="0"/>
          </reference>
        </references>
      </pivotArea>
    </chartFormat>
    <chartFormat chart="0" format="446">
      <pivotArea type="data" outline="0" fieldPosition="0">
        <references count="3">
          <reference field="4294967294" count="1" selected="0">
            <x v="0"/>
          </reference>
          <reference field="0" count="1" selected="0">
            <x v="42"/>
          </reference>
          <reference field="1" count="1" selected="0">
            <x v="0"/>
          </reference>
        </references>
      </pivotArea>
    </chartFormat>
    <chartFormat chart="0" format="447">
      <pivotArea type="data" outline="0" fieldPosition="0">
        <references count="3">
          <reference field="4294967294" count="1" selected="0">
            <x v="0"/>
          </reference>
          <reference field="0" count="1" selected="0">
            <x v="43"/>
          </reference>
          <reference field="1" count="1" selected="0">
            <x v="0"/>
          </reference>
        </references>
      </pivotArea>
    </chartFormat>
    <chartFormat chart="0" format="448">
      <pivotArea type="data" outline="0" fieldPosition="0">
        <references count="3">
          <reference field="4294967294" count="1" selected="0">
            <x v="0"/>
          </reference>
          <reference field="0" count="1" selected="0">
            <x v="44"/>
          </reference>
          <reference field="1" count="1" selected="0">
            <x v="0"/>
          </reference>
        </references>
      </pivotArea>
    </chartFormat>
    <chartFormat chart="0" format="449">
      <pivotArea type="data" outline="0" fieldPosition="0">
        <references count="3">
          <reference field="4294967294" count="1" selected="0">
            <x v="0"/>
          </reference>
          <reference field="0" count="1" selected="0">
            <x v="45"/>
          </reference>
          <reference field="1" count="1" selected="0">
            <x v="0"/>
          </reference>
        </references>
      </pivotArea>
    </chartFormat>
    <chartFormat chart="0" format="450">
      <pivotArea type="data" outline="0" fieldPosition="0">
        <references count="3">
          <reference field="4294967294" count="1" selected="0">
            <x v="0"/>
          </reference>
          <reference field="0" count="1" selected="0">
            <x v="46"/>
          </reference>
          <reference field="1" count="1" selected="0">
            <x v="0"/>
          </reference>
        </references>
      </pivotArea>
    </chartFormat>
    <chartFormat chart="0" format="451">
      <pivotArea type="data" outline="0" fieldPosition="0">
        <references count="3">
          <reference field="4294967294" count="1" selected="0">
            <x v="0"/>
          </reference>
          <reference field="0" count="1" selected="0">
            <x v="47"/>
          </reference>
          <reference field="1" count="1" selected="0">
            <x v="0"/>
          </reference>
        </references>
      </pivotArea>
    </chartFormat>
    <chartFormat chart="0" format="452">
      <pivotArea type="data" outline="0" fieldPosition="0">
        <references count="3">
          <reference field="4294967294" count="1" selected="0">
            <x v="0"/>
          </reference>
          <reference field="0" count="1" selected="0">
            <x v="48"/>
          </reference>
          <reference field="1" count="1" selected="0">
            <x v="0"/>
          </reference>
        </references>
      </pivotArea>
    </chartFormat>
    <chartFormat chart="0" format="453">
      <pivotArea type="data" outline="0" fieldPosition="0">
        <references count="3">
          <reference field="4294967294" count="1" selected="0">
            <x v="0"/>
          </reference>
          <reference field="0" count="1" selected="0">
            <x v="49"/>
          </reference>
          <reference field="1" count="1" selected="0">
            <x v="0"/>
          </reference>
        </references>
      </pivotArea>
    </chartFormat>
    <chartFormat chart="0" format="454">
      <pivotArea type="data" outline="0" fieldPosition="0">
        <references count="3">
          <reference field="4294967294" count="1" selected="0">
            <x v="0"/>
          </reference>
          <reference field="0" count="1" selected="0">
            <x v="0"/>
          </reference>
          <reference field="1" count="1" selected="0">
            <x v="1"/>
          </reference>
        </references>
      </pivotArea>
    </chartFormat>
    <chartFormat chart="0" format="455">
      <pivotArea type="data" outline="0" fieldPosition="0">
        <references count="3">
          <reference field="4294967294" count="1" selected="0">
            <x v="0"/>
          </reference>
          <reference field="0" count="1" selected="0">
            <x v="1"/>
          </reference>
          <reference field="1" count="1" selected="0">
            <x v="1"/>
          </reference>
        </references>
      </pivotArea>
    </chartFormat>
    <chartFormat chart="0" format="456">
      <pivotArea type="data" outline="0" fieldPosition="0">
        <references count="3">
          <reference field="4294967294" count="1" selected="0">
            <x v="0"/>
          </reference>
          <reference field="0" count="1" selected="0">
            <x v="2"/>
          </reference>
          <reference field="1" count="1" selected="0">
            <x v="1"/>
          </reference>
        </references>
      </pivotArea>
    </chartFormat>
    <chartFormat chart="0" format="457">
      <pivotArea type="data" outline="0" fieldPosition="0">
        <references count="3">
          <reference field="4294967294" count="1" selected="0">
            <x v="0"/>
          </reference>
          <reference field="0" count="1" selected="0">
            <x v="3"/>
          </reference>
          <reference field="1" count="1" selected="0">
            <x v="1"/>
          </reference>
        </references>
      </pivotArea>
    </chartFormat>
    <chartFormat chart="0" format="458">
      <pivotArea type="data" outline="0" fieldPosition="0">
        <references count="3">
          <reference field="4294967294" count="1" selected="0">
            <x v="0"/>
          </reference>
          <reference field="0" count="1" selected="0">
            <x v="4"/>
          </reference>
          <reference field="1" count="1" selected="0">
            <x v="1"/>
          </reference>
        </references>
      </pivotArea>
    </chartFormat>
    <chartFormat chart="0" format="459">
      <pivotArea type="data" outline="0" fieldPosition="0">
        <references count="3">
          <reference field="4294967294" count="1" selected="0">
            <x v="0"/>
          </reference>
          <reference field="0" count="1" selected="0">
            <x v="5"/>
          </reference>
          <reference field="1" count="1" selected="0">
            <x v="1"/>
          </reference>
        </references>
      </pivotArea>
    </chartFormat>
    <chartFormat chart="0" format="460">
      <pivotArea type="data" outline="0" fieldPosition="0">
        <references count="3">
          <reference field="4294967294" count="1" selected="0">
            <x v="0"/>
          </reference>
          <reference field="0" count="1" selected="0">
            <x v="6"/>
          </reference>
          <reference field="1" count="1" selected="0">
            <x v="1"/>
          </reference>
        </references>
      </pivotArea>
    </chartFormat>
    <chartFormat chart="0" format="461">
      <pivotArea type="data" outline="0" fieldPosition="0">
        <references count="3">
          <reference field="4294967294" count="1" selected="0">
            <x v="0"/>
          </reference>
          <reference field="0" count="1" selected="0">
            <x v="7"/>
          </reference>
          <reference field="1" count="1" selected="0">
            <x v="1"/>
          </reference>
        </references>
      </pivotArea>
    </chartFormat>
    <chartFormat chart="0" format="462">
      <pivotArea type="data" outline="0" fieldPosition="0">
        <references count="3">
          <reference field="4294967294" count="1" selected="0">
            <x v="0"/>
          </reference>
          <reference field="0" count="1" selected="0">
            <x v="8"/>
          </reference>
          <reference field="1" count="1" selected="0">
            <x v="1"/>
          </reference>
        </references>
      </pivotArea>
    </chartFormat>
    <chartFormat chart="0" format="463">
      <pivotArea type="data" outline="0" fieldPosition="0">
        <references count="3">
          <reference field="4294967294" count="1" selected="0">
            <x v="0"/>
          </reference>
          <reference field="0" count="1" selected="0">
            <x v="9"/>
          </reference>
          <reference field="1" count="1" selected="0">
            <x v="1"/>
          </reference>
        </references>
      </pivotArea>
    </chartFormat>
    <chartFormat chart="0" format="464">
      <pivotArea type="data" outline="0" fieldPosition="0">
        <references count="3">
          <reference field="4294967294" count="1" selected="0">
            <x v="0"/>
          </reference>
          <reference field="0" count="1" selected="0">
            <x v="10"/>
          </reference>
          <reference field="1" count="1" selected="0">
            <x v="1"/>
          </reference>
        </references>
      </pivotArea>
    </chartFormat>
    <chartFormat chart="0" format="465">
      <pivotArea type="data" outline="0" fieldPosition="0">
        <references count="3">
          <reference field="4294967294" count="1" selected="0">
            <x v="0"/>
          </reference>
          <reference field="0" count="1" selected="0">
            <x v="11"/>
          </reference>
          <reference field="1" count="1" selected="0">
            <x v="1"/>
          </reference>
        </references>
      </pivotArea>
    </chartFormat>
    <chartFormat chart="0" format="466">
      <pivotArea type="data" outline="0" fieldPosition="0">
        <references count="3">
          <reference field="4294967294" count="1" selected="0">
            <x v="0"/>
          </reference>
          <reference field="0" count="1" selected="0">
            <x v="12"/>
          </reference>
          <reference field="1" count="1" selected="0">
            <x v="1"/>
          </reference>
        </references>
      </pivotArea>
    </chartFormat>
    <chartFormat chart="0" format="467">
      <pivotArea type="data" outline="0" fieldPosition="0">
        <references count="3">
          <reference field="4294967294" count="1" selected="0">
            <x v="0"/>
          </reference>
          <reference field="0" count="1" selected="0">
            <x v="13"/>
          </reference>
          <reference field="1" count="1" selected="0">
            <x v="1"/>
          </reference>
        </references>
      </pivotArea>
    </chartFormat>
    <chartFormat chart="0" format="468">
      <pivotArea type="data" outline="0" fieldPosition="0">
        <references count="3">
          <reference field="4294967294" count="1" selected="0">
            <x v="0"/>
          </reference>
          <reference field="0" count="1" selected="0">
            <x v="14"/>
          </reference>
          <reference field="1" count="1" selected="0">
            <x v="1"/>
          </reference>
        </references>
      </pivotArea>
    </chartFormat>
    <chartFormat chart="0" format="469">
      <pivotArea type="data" outline="0" fieldPosition="0">
        <references count="3">
          <reference field="4294967294" count="1" selected="0">
            <x v="0"/>
          </reference>
          <reference field="0" count="1" selected="0">
            <x v="15"/>
          </reference>
          <reference field="1" count="1" selected="0">
            <x v="1"/>
          </reference>
        </references>
      </pivotArea>
    </chartFormat>
    <chartFormat chart="0" format="470">
      <pivotArea type="data" outline="0" fieldPosition="0">
        <references count="3">
          <reference field="4294967294" count="1" selected="0">
            <x v="0"/>
          </reference>
          <reference field="0" count="1" selected="0">
            <x v="16"/>
          </reference>
          <reference field="1" count="1" selected="0">
            <x v="1"/>
          </reference>
        </references>
      </pivotArea>
    </chartFormat>
    <chartFormat chart="0" format="471">
      <pivotArea type="data" outline="0" fieldPosition="0">
        <references count="3">
          <reference field="4294967294" count="1" selected="0">
            <x v="0"/>
          </reference>
          <reference field="0" count="1" selected="0">
            <x v="17"/>
          </reference>
          <reference field="1" count="1" selected="0">
            <x v="1"/>
          </reference>
        </references>
      </pivotArea>
    </chartFormat>
    <chartFormat chart="0" format="472">
      <pivotArea type="data" outline="0" fieldPosition="0">
        <references count="3">
          <reference field="4294967294" count="1" selected="0">
            <x v="0"/>
          </reference>
          <reference field="0" count="1" selected="0">
            <x v="18"/>
          </reference>
          <reference field="1" count="1" selected="0">
            <x v="1"/>
          </reference>
        </references>
      </pivotArea>
    </chartFormat>
    <chartFormat chart="0" format="473">
      <pivotArea type="data" outline="0" fieldPosition="0">
        <references count="3">
          <reference field="4294967294" count="1" selected="0">
            <x v="0"/>
          </reference>
          <reference field="0" count="1" selected="0">
            <x v="19"/>
          </reference>
          <reference field="1" count="1" selected="0">
            <x v="1"/>
          </reference>
        </references>
      </pivotArea>
    </chartFormat>
    <chartFormat chart="0" format="474">
      <pivotArea type="data" outline="0" fieldPosition="0">
        <references count="3">
          <reference field="4294967294" count="1" selected="0">
            <x v="0"/>
          </reference>
          <reference field="0" count="1" selected="0">
            <x v="20"/>
          </reference>
          <reference field="1" count="1" selected="0">
            <x v="1"/>
          </reference>
        </references>
      </pivotArea>
    </chartFormat>
    <chartFormat chart="0" format="475">
      <pivotArea type="data" outline="0" fieldPosition="0">
        <references count="3">
          <reference field="4294967294" count="1" selected="0">
            <x v="0"/>
          </reference>
          <reference field="0" count="1" selected="0">
            <x v="21"/>
          </reference>
          <reference field="1" count="1" selected="0">
            <x v="1"/>
          </reference>
        </references>
      </pivotArea>
    </chartFormat>
    <chartFormat chart="0" format="476">
      <pivotArea type="data" outline="0" fieldPosition="0">
        <references count="3">
          <reference field="4294967294" count="1" selected="0">
            <x v="0"/>
          </reference>
          <reference field="0" count="1" selected="0">
            <x v="22"/>
          </reference>
          <reference field="1" count="1" selected="0">
            <x v="1"/>
          </reference>
        </references>
      </pivotArea>
    </chartFormat>
    <chartFormat chart="0" format="477">
      <pivotArea type="data" outline="0" fieldPosition="0">
        <references count="3">
          <reference field="4294967294" count="1" selected="0">
            <x v="0"/>
          </reference>
          <reference field="0" count="1" selected="0">
            <x v="23"/>
          </reference>
          <reference field="1" count="1" selected="0">
            <x v="1"/>
          </reference>
        </references>
      </pivotArea>
    </chartFormat>
    <chartFormat chart="0" format="478">
      <pivotArea type="data" outline="0" fieldPosition="0">
        <references count="3">
          <reference field="4294967294" count="1" selected="0">
            <x v="0"/>
          </reference>
          <reference field="0" count="1" selected="0">
            <x v="24"/>
          </reference>
          <reference field="1" count="1" selected="0">
            <x v="1"/>
          </reference>
        </references>
      </pivotArea>
    </chartFormat>
    <chartFormat chart="0" format="479">
      <pivotArea type="data" outline="0" fieldPosition="0">
        <references count="3">
          <reference field="4294967294" count="1" selected="0">
            <x v="0"/>
          </reference>
          <reference field="0" count="1" selected="0">
            <x v="25"/>
          </reference>
          <reference field="1" count="1" selected="0">
            <x v="1"/>
          </reference>
        </references>
      </pivotArea>
    </chartFormat>
    <chartFormat chart="0" format="480">
      <pivotArea type="data" outline="0" fieldPosition="0">
        <references count="3">
          <reference field="4294967294" count="1" selected="0">
            <x v="0"/>
          </reference>
          <reference field="0" count="1" selected="0">
            <x v="26"/>
          </reference>
          <reference field="1" count="1" selected="0">
            <x v="1"/>
          </reference>
        </references>
      </pivotArea>
    </chartFormat>
    <chartFormat chart="0" format="481">
      <pivotArea type="data" outline="0" fieldPosition="0">
        <references count="3">
          <reference field="4294967294" count="1" selected="0">
            <x v="0"/>
          </reference>
          <reference field="0" count="1" selected="0">
            <x v="27"/>
          </reference>
          <reference field="1" count="1" selected="0">
            <x v="1"/>
          </reference>
        </references>
      </pivotArea>
    </chartFormat>
    <chartFormat chart="0" format="482">
      <pivotArea type="data" outline="0" fieldPosition="0">
        <references count="3">
          <reference field="4294967294" count="1" selected="0">
            <x v="0"/>
          </reference>
          <reference field="0" count="1" selected="0">
            <x v="28"/>
          </reference>
          <reference field="1" count="1" selected="0">
            <x v="1"/>
          </reference>
        </references>
      </pivotArea>
    </chartFormat>
    <chartFormat chart="0" format="483">
      <pivotArea type="data" outline="0" fieldPosition="0">
        <references count="3">
          <reference field="4294967294" count="1" selected="0">
            <x v="0"/>
          </reference>
          <reference field="0" count="1" selected="0">
            <x v="29"/>
          </reference>
          <reference field="1" count="1" selected="0">
            <x v="1"/>
          </reference>
        </references>
      </pivotArea>
    </chartFormat>
    <chartFormat chart="0" format="484">
      <pivotArea type="data" outline="0" fieldPosition="0">
        <references count="3">
          <reference field="4294967294" count="1" selected="0">
            <x v="0"/>
          </reference>
          <reference field="0" count="1" selected="0">
            <x v="30"/>
          </reference>
          <reference field="1" count="1" selected="0">
            <x v="1"/>
          </reference>
        </references>
      </pivotArea>
    </chartFormat>
    <chartFormat chart="0" format="485">
      <pivotArea type="data" outline="0" fieldPosition="0">
        <references count="3">
          <reference field="4294967294" count="1" selected="0">
            <x v="0"/>
          </reference>
          <reference field="0" count="1" selected="0">
            <x v="31"/>
          </reference>
          <reference field="1" count="1" selected="0">
            <x v="1"/>
          </reference>
        </references>
      </pivotArea>
    </chartFormat>
    <chartFormat chart="0" format="486">
      <pivotArea type="data" outline="0" fieldPosition="0">
        <references count="3">
          <reference field="4294967294" count="1" selected="0">
            <x v="0"/>
          </reference>
          <reference field="0" count="1" selected="0">
            <x v="32"/>
          </reference>
          <reference field="1" count="1" selected="0">
            <x v="1"/>
          </reference>
        </references>
      </pivotArea>
    </chartFormat>
    <chartFormat chart="0" format="487">
      <pivotArea type="data" outline="0" fieldPosition="0">
        <references count="3">
          <reference field="4294967294" count="1" selected="0">
            <x v="0"/>
          </reference>
          <reference field="0" count="1" selected="0">
            <x v="33"/>
          </reference>
          <reference field="1" count="1" selected="0">
            <x v="1"/>
          </reference>
        </references>
      </pivotArea>
    </chartFormat>
    <chartFormat chart="0" format="488">
      <pivotArea type="data" outline="0" fieldPosition="0">
        <references count="3">
          <reference field="4294967294" count="1" selected="0">
            <x v="0"/>
          </reference>
          <reference field="0" count="1" selected="0">
            <x v="34"/>
          </reference>
          <reference field="1" count="1" selected="0">
            <x v="1"/>
          </reference>
        </references>
      </pivotArea>
    </chartFormat>
    <chartFormat chart="0" format="489">
      <pivotArea type="data" outline="0" fieldPosition="0">
        <references count="3">
          <reference field="4294967294" count="1" selected="0">
            <x v="0"/>
          </reference>
          <reference field="0" count="1" selected="0">
            <x v="35"/>
          </reference>
          <reference field="1" count="1" selected="0">
            <x v="1"/>
          </reference>
        </references>
      </pivotArea>
    </chartFormat>
    <chartFormat chart="0" format="490">
      <pivotArea type="data" outline="0" fieldPosition="0">
        <references count="3">
          <reference field="4294967294" count="1" selected="0">
            <x v="0"/>
          </reference>
          <reference field="0" count="1" selected="0">
            <x v="36"/>
          </reference>
          <reference field="1" count="1" selected="0">
            <x v="1"/>
          </reference>
        </references>
      </pivotArea>
    </chartFormat>
    <chartFormat chart="0" format="491">
      <pivotArea type="data" outline="0" fieldPosition="0">
        <references count="3">
          <reference field="4294967294" count="1" selected="0">
            <x v="0"/>
          </reference>
          <reference field="0" count="1" selected="0">
            <x v="37"/>
          </reference>
          <reference field="1" count="1" selected="0">
            <x v="1"/>
          </reference>
        </references>
      </pivotArea>
    </chartFormat>
    <chartFormat chart="0" format="492">
      <pivotArea type="data" outline="0" fieldPosition="0">
        <references count="3">
          <reference field="4294967294" count="1" selected="0">
            <x v="0"/>
          </reference>
          <reference field="0" count="1" selected="0">
            <x v="38"/>
          </reference>
          <reference field="1" count="1" selected="0">
            <x v="1"/>
          </reference>
        </references>
      </pivotArea>
    </chartFormat>
    <chartFormat chart="0" format="493">
      <pivotArea type="data" outline="0" fieldPosition="0">
        <references count="3">
          <reference field="4294967294" count="1" selected="0">
            <x v="0"/>
          </reference>
          <reference field="0" count="1" selected="0">
            <x v="39"/>
          </reference>
          <reference field="1" count="1" selected="0">
            <x v="1"/>
          </reference>
        </references>
      </pivotArea>
    </chartFormat>
    <chartFormat chart="0" format="494">
      <pivotArea type="data" outline="0" fieldPosition="0">
        <references count="3">
          <reference field="4294967294" count="1" selected="0">
            <x v="0"/>
          </reference>
          <reference field="0" count="1" selected="0">
            <x v="40"/>
          </reference>
          <reference field="1" count="1" selected="0">
            <x v="1"/>
          </reference>
        </references>
      </pivotArea>
    </chartFormat>
    <chartFormat chart="0" format="495">
      <pivotArea type="data" outline="0" fieldPosition="0">
        <references count="3">
          <reference field="4294967294" count="1" selected="0">
            <x v="0"/>
          </reference>
          <reference field="0" count="1" selected="0">
            <x v="41"/>
          </reference>
          <reference field="1" count="1" selected="0">
            <x v="1"/>
          </reference>
        </references>
      </pivotArea>
    </chartFormat>
    <chartFormat chart="0" format="496">
      <pivotArea type="data" outline="0" fieldPosition="0">
        <references count="3">
          <reference field="4294967294" count="1" selected="0">
            <x v="0"/>
          </reference>
          <reference field="0" count="1" selected="0">
            <x v="42"/>
          </reference>
          <reference field="1" count="1" selected="0">
            <x v="1"/>
          </reference>
        </references>
      </pivotArea>
    </chartFormat>
    <chartFormat chart="0" format="497">
      <pivotArea type="data" outline="0" fieldPosition="0">
        <references count="3">
          <reference field="4294967294" count="1" selected="0">
            <x v="0"/>
          </reference>
          <reference field="0" count="1" selected="0">
            <x v="43"/>
          </reference>
          <reference field="1" count="1" selected="0">
            <x v="1"/>
          </reference>
        </references>
      </pivotArea>
    </chartFormat>
    <chartFormat chart="0" format="498">
      <pivotArea type="data" outline="0" fieldPosition="0">
        <references count="3">
          <reference field="4294967294" count="1" selected="0">
            <x v="0"/>
          </reference>
          <reference field="0" count="1" selected="0">
            <x v="44"/>
          </reference>
          <reference field="1" count="1" selected="0">
            <x v="1"/>
          </reference>
        </references>
      </pivotArea>
    </chartFormat>
    <chartFormat chart="0" format="499">
      <pivotArea type="data" outline="0" fieldPosition="0">
        <references count="3">
          <reference field="4294967294" count="1" selected="0">
            <x v="0"/>
          </reference>
          <reference field="0" count="1" selected="0">
            <x v="45"/>
          </reference>
          <reference field="1" count="1" selected="0">
            <x v="1"/>
          </reference>
        </references>
      </pivotArea>
    </chartFormat>
    <chartFormat chart="0" format="500">
      <pivotArea type="data" outline="0" fieldPosition="0">
        <references count="3">
          <reference field="4294967294" count="1" selected="0">
            <x v="0"/>
          </reference>
          <reference field="0" count="1" selected="0">
            <x v="46"/>
          </reference>
          <reference field="1" count="1" selected="0">
            <x v="1"/>
          </reference>
        </references>
      </pivotArea>
    </chartFormat>
    <chartFormat chart="0" format="501">
      <pivotArea type="data" outline="0" fieldPosition="0">
        <references count="3">
          <reference field="4294967294" count="1" selected="0">
            <x v="0"/>
          </reference>
          <reference field="0" count="1" selected="0">
            <x v="47"/>
          </reference>
          <reference field="1" count="1" selected="0">
            <x v="1"/>
          </reference>
        </references>
      </pivotArea>
    </chartFormat>
    <chartFormat chart="0" format="502">
      <pivotArea type="data" outline="0" fieldPosition="0">
        <references count="3">
          <reference field="4294967294" count="1" selected="0">
            <x v="0"/>
          </reference>
          <reference field="0" count="1" selected="0">
            <x v="48"/>
          </reference>
          <reference field="1" count="1" selected="0">
            <x v="1"/>
          </reference>
        </references>
      </pivotArea>
    </chartFormat>
    <chartFormat chart="0" format="503">
      <pivotArea type="data" outline="0" fieldPosition="0">
        <references count="3">
          <reference field="4294967294" count="1" selected="0">
            <x v="0"/>
          </reference>
          <reference field="0" count="1" selected="0">
            <x v="49"/>
          </reference>
          <reference field="1" count="1" selected="0">
            <x v="1"/>
          </reference>
        </references>
      </pivotArea>
    </chartFormat>
    <chartFormat chart="0" format="504">
      <pivotArea type="data" outline="0" fieldPosition="0">
        <references count="3">
          <reference field="4294967294" count="1" selected="0">
            <x v="0"/>
          </reference>
          <reference field="0" count="1" selected="0">
            <x v="0"/>
          </reference>
          <reference field="1" count="1" selected="0">
            <x v="2"/>
          </reference>
        </references>
      </pivotArea>
    </chartFormat>
    <chartFormat chart="0" format="505">
      <pivotArea type="data" outline="0" fieldPosition="0">
        <references count="3">
          <reference field="4294967294" count="1" selected="0">
            <x v="0"/>
          </reference>
          <reference field="0" count="1" selected="0">
            <x v="1"/>
          </reference>
          <reference field="1" count="1" selected="0">
            <x v="2"/>
          </reference>
        </references>
      </pivotArea>
    </chartFormat>
    <chartFormat chart="0" format="506">
      <pivotArea type="data" outline="0" fieldPosition="0">
        <references count="3">
          <reference field="4294967294" count="1" selected="0">
            <x v="0"/>
          </reference>
          <reference field="0" count="1" selected="0">
            <x v="2"/>
          </reference>
          <reference field="1" count="1" selected="0">
            <x v="2"/>
          </reference>
        </references>
      </pivotArea>
    </chartFormat>
    <chartFormat chart="0" format="507">
      <pivotArea type="data" outline="0" fieldPosition="0">
        <references count="3">
          <reference field="4294967294" count="1" selected="0">
            <x v="0"/>
          </reference>
          <reference field="0" count="1" selected="0">
            <x v="3"/>
          </reference>
          <reference field="1" count="1" selected="0">
            <x v="2"/>
          </reference>
        </references>
      </pivotArea>
    </chartFormat>
    <chartFormat chart="0" format="508">
      <pivotArea type="data" outline="0" fieldPosition="0">
        <references count="3">
          <reference field="4294967294" count="1" selected="0">
            <x v="0"/>
          </reference>
          <reference field="0" count="1" selected="0">
            <x v="4"/>
          </reference>
          <reference field="1" count="1" selected="0">
            <x v="2"/>
          </reference>
        </references>
      </pivotArea>
    </chartFormat>
    <chartFormat chart="0" format="509">
      <pivotArea type="data" outline="0" fieldPosition="0">
        <references count="3">
          <reference field="4294967294" count="1" selected="0">
            <x v="0"/>
          </reference>
          <reference field="0" count="1" selected="0">
            <x v="5"/>
          </reference>
          <reference field="1" count="1" selected="0">
            <x v="2"/>
          </reference>
        </references>
      </pivotArea>
    </chartFormat>
    <chartFormat chart="0" format="510">
      <pivotArea type="data" outline="0" fieldPosition="0">
        <references count="3">
          <reference field="4294967294" count="1" selected="0">
            <x v="0"/>
          </reference>
          <reference field="0" count="1" selected="0">
            <x v="6"/>
          </reference>
          <reference field="1" count="1" selected="0">
            <x v="2"/>
          </reference>
        </references>
      </pivotArea>
    </chartFormat>
    <chartFormat chart="0" format="511">
      <pivotArea type="data" outline="0" fieldPosition="0">
        <references count="3">
          <reference field="4294967294" count="1" selected="0">
            <x v="0"/>
          </reference>
          <reference field="0" count="1" selected="0">
            <x v="7"/>
          </reference>
          <reference field="1" count="1" selected="0">
            <x v="2"/>
          </reference>
        </references>
      </pivotArea>
    </chartFormat>
    <chartFormat chart="0" format="512">
      <pivotArea type="data" outline="0" fieldPosition="0">
        <references count="3">
          <reference field="4294967294" count="1" selected="0">
            <x v="0"/>
          </reference>
          <reference field="0" count="1" selected="0">
            <x v="8"/>
          </reference>
          <reference field="1" count="1" selected="0">
            <x v="2"/>
          </reference>
        </references>
      </pivotArea>
    </chartFormat>
    <chartFormat chart="0" format="513">
      <pivotArea type="data" outline="0" fieldPosition="0">
        <references count="3">
          <reference field="4294967294" count="1" selected="0">
            <x v="0"/>
          </reference>
          <reference field="0" count="1" selected="0">
            <x v="9"/>
          </reference>
          <reference field="1" count="1" selected="0">
            <x v="2"/>
          </reference>
        </references>
      </pivotArea>
    </chartFormat>
    <chartFormat chart="0" format="514">
      <pivotArea type="data" outline="0" fieldPosition="0">
        <references count="3">
          <reference field="4294967294" count="1" selected="0">
            <x v="0"/>
          </reference>
          <reference field="0" count="1" selected="0">
            <x v="10"/>
          </reference>
          <reference field="1" count="1" selected="0">
            <x v="2"/>
          </reference>
        </references>
      </pivotArea>
    </chartFormat>
    <chartFormat chart="0" format="515">
      <pivotArea type="data" outline="0" fieldPosition="0">
        <references count="3">
          <reference field="4294967294" count="1" selected="0">
            <x v="0"/>
          </reference>
          <reference field="0" count="1" selected="0">
            <x v="11"/>
          </reference>
          <reference field="1" count="1" selected="0">
            <x v="2"/>
          </reference>
        </references>
      </pivotArea>
    </chartFormat>
    <chartFormat chart="0" format="516">
      <pivotArea type="data" outline="0" fieldPosition="0">
        <references count="3">
          <reference field="4294967294" count="1" selected="0">
            <x v="0"/>
          </reference>
          <reference field="0" count="1" selected="0">
            <x v="12"/>
          </reference>
          <reference field="1" count="1" selected="0">
            <x v="2"/>
          </reference>
        </references>
      </pivotArea>
    </chartFormat>
    <chartFormat chart="0" format="517">
      <pivotArea type="data" outline="0" fieldPosition="0">
        <references count="3">
          <reference field="4294967294" count="1" selected="0">
            <x v="0"/>
          </reference>
          <reference field="0" count="1" selected="0">
            <x v="13"/>
          </reference>
          <reference field="1" count="1" selected="0">
            <x v="2"/>
          </reference>
        </references>
      </pivotArea>
    </chartFormat>
    <chartFormat chart="0" format="518">
      <pivotArea type="data" outline="0" fieldPosition="0">
        <references count="3">
          <reference field="4294967294" count="1" selected="0">
            <x v="0"/>
          </reference>
          <reference field="0" count="1" selected="0">
            <x v="14"/>
          </reference>
          <reference field="1" count="1" selected="0">
            <x v="2"/>
          </reference>
        </references>
      </pivotArea>
    </chartFormat>
    <chartFormat chart="0" format="519">
      <pivotArea type="data" outline="0" fieldPosition="0">
        <references count="3">
          <reference field="4294967294" count="1" selected="0">
            <x v="0"/>
          </reference>
          <reference field="0" count="1" selected="0">
            <x v="15"/>
          </reference>
          <reference field="1" count="1" selected="0">
            <x v="2"/>
          </reference>
        </references>
      </pivotArea>
    </chartFormat>
    <chartFormat chart="0" format="520">
      <pivotArea type="data" outline="0" fieldPosition="0">
        <references count="3">
          <reference field="4294967294" count="1" selected="0">
            <x v="0"/>
          </reference>
          <reference field="0" count="1" selected="0">
            <x v="16"/>
          </reference>
          <reference field="1" count="1" selected="0">
            <x v="2"/>
          </reference>
        </references>
      </pivotArea>
    </chartFormat>
    <chartFormat chart="0" format="521">
      <pivotArea type="data" outline="0" fieldPosition="0">
        <references count="3">
          <reference field="4294967294" count="1" selected="0">
            <x v="0"/>
          </reference>
          <reference field="0" count="1" selected="0">
            <x v="17"/>
          </reference>
          <reference field="1" count="1" selected="0">
            <x v="2"/>
          </reference>
        </references>
      </pivotArea>
    </chartFormat>
    <chartFormat chart="0" format="522">
      <pivotArea type="data" outline="0" fieldPosition="0">
        <references count="3">
          <reference field="4294967294" count="1" selected="0">
            <x v="0"/>
          </reference>
          <reference field="0" count="1" selected="0">
            <x v="18"/>
          </reference>
          <reference field="1" count="1" selected="0">
            <x v="2"/>
          </reference>
        </references>
      </pivotArea>
    </chartFormat>
    <chartFormat chart="0" format="523">
      <pivotArea type="data" outline="0" fieldPosition="0">
        <references count="3">
          <reference field="4294967294" count="1" selected="0">
            <x v="0"/>
          </reference>
          <reference field="0" count="1" selected="0">
            <x v="19"/>
          </reference>
          <reference field="1" count="1" selected="0">
            <x v="2"/>
          </reference>
        </references>
      </pivotArea>
    </chartFormat>
    <chartFormat chart="0" format="524">
      <pivotArea type="data" outline="0" fieldPosition="0">
        <references count="3">
          <reference field="4294967294" count="1" selected="0">
            <x v="0"/>
          </reference>
          <reference field="0" count="1" selected="0">
            <x v="20"/>
          </reference>
          <reference field="1" count="1" selected="0">
            <x v="2"/>
          </reference>
        </references>
      </pivotArea>
    </chartFormat>
    <chartFormat chart="0" format="525">
      <pivotArea type="data" outline="0" fieldPosition="0">
        <references count="3">
          <reference field="4294967294" count="1" selected="0">
            <x v="0"/>
          </reference>
          <reference field="0" count="1" selected="0">
            <x v="21"/>
          </reference>
          <reference field="1" count="1" selected="0">
            <x v="2"/>
          </reference>
        </references>
      </pivotArea>
    </chartFormat>
    <chartFormat chart="0" format="526">
      <pivotArea type="data" outline="0" fieldPosition="0">
        <references count="3">
          <reference field="4294967294" count="1" selected="0">
            <x v="0"/>
          </reference>
          <reference field="0" count="1" selected="0">
            <x v="22"/>
          </reference>
          <reference field="1" count="1" selected="0">
            <x v="2"/>
          </reference>
        </references>
      </pivotArea>
    </chartFormat>
    <chartFormat chart="0" format="527">
      <pivotArea type="data" outline="0" fieldPosition="0">
        <references count="3">
          <reference field="4294967294" count="1" selected="0">
            <x v="0"/>
          </reference>
          <reference field="0" count="1" selected="0">
            <x v="23"/>
          </reference>
          <reference field="1" count="1" selected="0">
            <x v="2"/>
          </reference>
        </references>
      </pivotArea>
    </chartFormat>
    <chartFormat chart="0" format="528">
      <pivotArea type="data" outline="0" fieldPosition="0">
        <references count="3">
          <reference field="4294967294" count="1" selected="0">
            <x v="0"/>
          </reference>
          <reference field="0" count="1" selected="0">
            <x v="24"/>
          </reference>
          <reference field="1" count="1" selected="0">
            <x v="2"/>
          </reference>
        </references>
      </pivotArea>
    </chartFormat>
    <chartFormat chart="0" format="529">
      <pivotArea type="data" outline="0" fieldPosition="0">
        <references count="3">
          <reference field="4294967294" count="1" selected="0">
            <x v="0"/>
          </reference>
          <reference field="0" count="1" selected="0">
            <x v="25"/>
          </reference>
          <reference field="1" count="1" selected="0">
            <x v="2"/>
          </reference>
        </references>
      </pivotArea>
    </chartFormat>
    <chartFormat chart="0" format="530">
      <pivotArea type="data" outline="0" fieldPosition="0">
        <references count="3">
          <reference field="4294967294" count="1" selected="0">
            <x v="0"/>
          </reference>
          <reference field="0" count="1" selected="0">
            <x v="26"/>
          </reference>
          <reference field="1" count="1" selected="0">
            <x v="2"/>
          </reference>
        </references>
      </pivotArea>
    </chartFormat>
    <chartFormat chart="0" format="531">
      <pivotArea type="data" outline="0" fieldPosition="0">
        <references count="3">
          <reference field="4294967294" count="1" selected="0">
            <x v="0"/>
          </reference>
          <reference field="0" count="1" selected="0">
            <x v="27"/>
          </reference>
          <reference field="1" count="1" selected="0">
            <x v="2"/>
          </reference>
        </references>
      </pivotArea>
    </chartFormat>
    <chartFormat chart="0" format="532">
      <pivotArea type="data" outline="0" fieldPosition="0">
        <references count="3">
          <reference field="4294967294" count="1" selected="0">
            <x v="0"/>
          </reference>
          <reference field="0" count="1" selected="0">
            <x v="28"/>
          </reference>
          <reference field="1" count="1" selected="0">
            <x v="2"/>
          </reference>
        </references>
      </pivotArea>
    </chartFormat>
    <chartFormat chart="0" format="533">
      <pivotArea type="data" outline="0" fieldPosition="0">
        <references count="3">
          <reference field="4294967294" count="1" selected="0">
            <x v="0"/>
          </reference>
          <reference field="0" count="1" selected="0">
            <x v="29"/>
          </reference>
          <reference field="1" count="1" selected="0">
            <x v="2"/>
          </reference>
        </references>
      </pivotArea>
    </chartFormat>
    <chartFormat chart="0" format="534">
      <pivotArea type="data" outline="0" fieldPosition="0">
        <references count="3">
          <reference field="4294967294" count="1" selected="0">
            <x v="0"/>
          </reference>
          <reference field="0" count="1" selected="0">
            <x v="30"/>
          </reference>
          <reference field="1" count="1" selected="0">
            <x v="2"/>
          </reference>
        </references>
      </pivotArea>
    </chartFormat>
    <chartFormat chart="0" format="535">
      <pivotArea type="data" outline="0" fieldPosition="0">
        <references count="3">
          <reference field="4294967294" count="1" selected="0">
            <x v="0"/>
          </reference>
          <reference field="0" count="1" selected="0">
            <x v="31"/>
          </reference>
          <reference field="1" count="1" selected="0">
            <x v="2"/>
          </reference>
        </references>
      </pivotArea>
    </chartFormat>
    <chartFormat chart="0" format="536">
      <pivotArea type="data" outline="0" fieldPosition="0">
        <references count="3">
          <reference field="4294967294" count="1" selected="0">
            <x v="0"/>
          </reference>
          <reference field="0" count="1" selected="0">
            <x v="32"/>
          </reference>
          <reference field="1" count="1" selected="0">
            <x v="2"/>
          </reference>
        </references>
      </pivotArea>
    </chartFormat>
    <chartFormat chart="0" format="537">
      <pivotArea type="data" outline="0" fieldPosition="0">
        <references count="3">
          <reference field="4294967294" count="1" selected="0">
            <x v="0"/>
          </reference>
          <reference field="0" count="1" selected="0">
            <x v="33"/>
          </reference>
          <reference field="1" count="1" selected="0">
            <x v="2"/>
          </reference>
        </references>
      </pivotArea>
    </chartFormat>
    <chartFormat chart="0" format="538">
      <pivotArea type="data" outline="0" fieldPosition="0">
        <references count="3">
          <reference field="4294967294" count="1" selected="0">
            <x v="0"/>
          </reference>
          <reference field="0" count="1" selected="0">
            <x v="34"/>
          </reference>
          <reference field="1" count="1" selected="0">
            <x v="2"/>
          </reference>
        </references>
      </pivotArea>
    </chartFormat>
    <chartFormat chart="0" format="539">
      <pivotArea type="data" outline="0" fieldPosition="0">
        <references count="3">
          <reference field="4294967294" count="1" selected="0">
            <x v="0"/>
          </reference>
          <reference field="0" count="1" selected="0">
            <x v="35"/>
          </reference>
          <reference field="1" count="1" selected="0">
            <x v="2"/>
          </reference>
        </references>
      </pivotArea>
    </chartFormat>
    <chartFormat chart="0" format="540">
      <pivotArea type="data" outline="0" fieldPosition="0">
        <references count="3">
          <reference field="4294967294" count="1" selected="0">
            <x v="0"/>
          </reference>
          <reference field="0" count="1" selected="0">
            <x v="36"/>
          </reference>
          <reference field="1" count="1" selected="0">
            <x v="2"/>
          </reference>
        </references>
      </pivotArea>
    </chartFormat>
    <chartFormat chart="0" format="541">
      <pivotArea type="data" outline="0" fieldPosition="0">
        <references count="3">
          <reference field="4294967294" count="1" selected="0">
            <x v="0"/>
          </reference>
          <reference field="0" count="1" selected="0">
            <x v="37"/>
          </reference>
          <reference field="1" count="1" selected="0">
            <x v="2"/>
          </reference>
        </references>
      </pivotArea>
    </chartFormat>
    <chartFormat chart="0" format="542">
      <pivotArea type="data" outline="0" fieldPosition="0">
        <references count="3">
          <reference field="4294967294" count="1" selected="0">
            <x v="0"/>
          </reference>
          <reference field="0" count="1" selected="0">
            <x v="38"/>
          </reference>
          <reference field="1" count="1" selected="0">
            <x v="2"/>
          </reference>
        </references>
      </pivotArea>
    </chartFormat>
    <chartFormat chart="0" format="543">
      <pivotArea type="data" outline="0" fieldPosition="0">
        <references count="3">
          <reference field="4294967294" count="1" selected="0">
            <x v="0"/>
          </reference>
          <reference field="0" count="1" selected="0">
            <x v="39"/>
          </reference>
          <reference field="1" count="1" selected="0">
            <x v="2"/>
          </reference>
        </references>
      </pivotArea>
    </chartFormat>
    <chartFormat chart="0" format="544">
      <pivotArea type="data" outline="0" fieldPosition="0">
        <references count="3">
          <reference field="4294967294" count="1" selected="0">
            <x v="0"/>
          </reference>
          <reference field="0" count="1" selected="0">
            <x v="40"/>
          </reference>
          <reference field="1" count="1" selected="0">
            <x v="2"/>
          </reference>
        </references>
      </pivotArea>
    </chartFormat>
    <chartFormat chart="0" format="545">
      <pivotArea type="data" outline="0" fieldPosition="0">
        <references count="3">
          <reference field="4294967294" count="1" selected="0">
            <x v="0"/>
          </reference>
          <reference field="0" count="1" selected="0">
            <x v="41"/>
          </reference>
          <reference field="1" count="1" selected="0">
            <x v="2"/>
          </reference>
        </references>
      </pivotArea>
    </chartFormat>
    <chartFormat chart="0" format="546">
      <pivotArea type="data" outline="0" fieldPosition="0">
        <references count="3">
          <reference field="4294967294" count="1" selected="0">
            <x v="0"/>
          </reference>
          <reference field="0" count="1" selected="0">
            <x v="42"/>
          </reference>
          <reference field="1" count="1" selected="0">
            <x v="2"/>
          </reference>
        </references>
      </pivotArea>
    </chartFormat>
    <chartFormat chart="0" format="547">
      <pivotArea type="data" outline="0" fieldPosition="0">
        <references count="3">
          <reference field="4294967294" count="1" selected="0">
            <x v="0"/>
          </reference>
          <reference field="0" count="1" selected="0">
            <x v="43"/>
          </reference>
          <reference field="1" count="1" selected="0">
            <x v="2"/>
          </reference>
        </references>
      </pivotArea>
    </chartFormat>
    <chartFormat chart="0" format="548">
      <pivotArea type="data" outline="0" fieldPosition="0">
        <references count="3">
          <reference field="4294967294" count="1" selected="0">
            <x v="0"/>
          </reference>
          <reference field="0" count="1" selected="0">
            <x v="44"/>
          </reference>
          <reference field="1" count="1" selected="0">
            <x v="2"/>
          </reference>
        </references>
      </pivotArea>
    </chartFormat>
    <chartFormat chart="0" format="549">
      <pivotArea type="data" outline="0" fieldPosition="0">
        <references count="3">
          <reference field="4294967294" count="1" selected="0">
            <x v="0"/>
          </reference>
          <reference field="0" count="1" selected="0">
            <x v="45"/>
          </reference>
          <reference field="1" count="1" selected="0">
            <x v="2"/>
          </reference>
        </references>
      </pivotArea>
    </chartFormat>
    <chartFormat chart="0" format="550">
      <pivotArea type="data" outline="0" fieldPosition="0">
        <references count="3">
          <reference field="4294967294" count="1" selected="0">
            <x v="0"/>
          </reference>
          <reference field="0" count="1" selected="0">
            <x v="46"/>
          </reference>
          <reference field="1" count="1" selected="0">
            <x v="2"/>
          </reference>
        </references>
      </pivotArea>
    </chartFormat>
    <chartFormat chart="0" format="551">
      <pivotArea type="data" outline="0" fieldPosition="0">
        <references count="3">
          <reference field="4294967294" count="1" selected="0">
            <x v="0"/>
          </reference>
          <reference field="0" count="1" selected="0">
            <x v="47"/>
          </reference>
          <reference field="1" count="1" selected="0">
            <x v="2"/>
          </reference>
        </references>
      </pivotArea>
    </chartFormat>
    <chartFormat chart="0" format="552">
      <pivotArea type="data" outline="0" fieldPosition="0">
        <references count="3">
          <reference field="4294967294" count="1" selected="0">
            <x v="0"/>
          </reference>
          <reference field="0" count="1" selected="0">
            <x v="48"/>
          </reference>
          <reference field="1" count="1" selected="0">
            <x v="2"/>
          </reference>
        </references>
      </pivotArea>
    </chartFormat>
    <chartFormat chart="0" format="553">
      <pivotArea type="data" outline="0" fieldPosition="0">
        <references count="3">
          <reference field="4294967294" count="1" selected="0">
            <x v="0"/>
          </reference>
          <reference field="0" count="1" selected="0">
            <x v="49"/>
          </reference>
          <reference field="1" count="1" selected="0">
            <x v="2"/>
          </reference>
        </references>
      </pivotArea>
    </chartFormat>
    <chartFormat chart="0" format="554">
      <pivotArea type="data" outline="0" fieldPosition="0">
        <references count="3">
          <reference field="4294967294" count="1" selected="0">
            <x v="0"/>
          </reference>
          <reference field="0" count="1" selected="0">
            <x v="0"/>
          </reference>
          <reference field="1" count="1" selected="0">
            <x v="3"/>
          </reference>
        </references>
      </pivotArea>
    </chartFormat>
    <chartFormat chart="0" format="555">
      <pivotArea type="data" outline="0" fieldPosition="0">
        <references count="3">
          <reference field="4294967294" count="1" selected="0">
            <x v="0"/>
          </reference>
          <reference field="0" count="1" selected="0">
            <x v="1"/>
          </reference>
          <reference field="1" count="1" selected="0">
            <x v="3"/>
          </reference>
        </references>
      </pivotArea>
    </chartFormat>
    <chartFormat chart="0" format="556">
      <pivotArea type="data" outline="0" fieldPosition="0">
        <references count="3">
          <reference field="4294967294" count="1" selected="0">
            <x v="0"/>
          </reference>
          <reference field="0" count="1" selected="0">
            <x v="2"/>
          </reference>
          <reference field="1" count="1" selected="0">
            <x v="3"/>
          </reference>
        </references>
      </pivotArea>
    </chartFormat>
    <chartFormat chart="0" format="557">
      <pivotArea type="data" outline="0" fieldPosition="0">
        <references count="3">
          <reference field="4294967294" count="1" selected="0">
            <x v="0"/>
          </reference>
          <reference field="0" count="1" selected="0">
            <x v="3"/>
          </reference>
          <reference field="1" count="1" selected="0">
            <x v="3"/>
          </reference>
        </references>
      </pivotArea>
    </chartFormat>
    <chartFormat chart="0" format="558">
      <pivotArea type="data" outline="0" fieldPosition="0">
        <references count="3">
          <reference field="4294967294" count="1" selected="0">
            <x v="0"/>
          </reference>
          <reference field="0" count="1" selected="0">
            <x v="4"/>
          </reference>
          <reference field="1" count="1" selected="0">
            <x v="3"/>
          </reference>
        </references>
      </pivotArea>
    </chartFormat>
    <chartFormat chart="0" format="559">
      <pivotArea type="data" outline="0" fieldPosition="0">
        <references count="3">
          <reference field="4294967294" count="1" selected="0">
            <x v="0"/>
          </reference>
          <reference field="0" count="1" selected="0">
            <x v="5"/>
          </reference>
          <reference field="1" count="1" selected="0">
            <x v="3"/>
          </reference>
        </references>
      </pivotArea>
    </chartFormat>
    <chartFormat chart="0" format="560">
      <pivotArea type="data" outline="0" fieldPosition="0">
        <references count="3">
          <reference field="4294967294" count="1" selected="0">
            <x v="0"/>
          </reference>
          <reference field="0" count="1" selected="0">
            <x v="6"/>
          </reference>
          <reference field="1" count="1" selected="0">
            <x v="3"/>
          </reference>
        </references>
      </pivotArea>
    </chartFormat>
    <chartFormat chart="0" format="561">
      <pivotArea type="data" outline="0" fieldPosition="0">
        <references count="3">
          <reference field="4294967294" count="1" selected="0">
            <x v="0"/>
          </reference>
          <reference field="0" count="1" selected="0">
            <x v="7"/>
          </reference>
          <reference field="1" count="1" selected="0">
            <x v="3"/>
          </reference>
        </references>
      </pivotArea>
    </chartFormat>
    <chartFormat chart="0" format="562">
      <pivotArea type="data" outline="0" fieldPosition="0">
        <references count="3">
          <reference field="4294967294" count="1" selected="0">
            <x v="0"/>
          </reference>
          <reference field="0" count="1" selected="0">
            <x v="8"/>
          </reference>
          <reference field="1" count="1" selected="0">
            <x v="3"/>
          </reference>
        </references>
      </pivotArea>
    </chartFormat>
    <chartFormat chart="0" format="563">
      <pivotArea type="data" outline="0" fieldPosition="0">
        <references count="3">
          <reference field="4294967294" count="1" selected="0">
            <x v="0"/>
          </reference>
          <reference field="0" count="1" selected="0">
            <x v="9"/>
          </reference>
          <reference field="1" count="1" selected="0">
            <x v="3"/>
          </reference>
        </references>
      </pivotArea>
    </chartFormat>
    <chartFormat chart="0" format="564">
      <pivotArea type="data" outline="0" fieldPosition="0">
        <references count="3">
          <reference field="4294967294" count="1" selected="0">
            <x v="0"/>
          </reference>
          <reference field="0" count="1" selected="0">
            <x v="10"/>
          </reference>
          <reference field="1" count="1" selected="0">
            <x v="3"/>
          </reference>
        </references>
      </pivotArea>
    </chartFormat>
    <chartFormat chart="0" format="565">
      <pivotArea type="data" outline="0" fieldPosition="0">
        <references count="3">
          <reference field="4294967294" count="1" selected="0">
            <x v="0"/>
          </reference>
          <reference field="0" count="1" selected="0">
            <x v="11"/>
          </reference>
          <reference field="1" count="1" selected="0">
            <x v="3"/>
          </reference>
        </references>
      </pivotArea>
    </chartFormat>
    <chartFormat chart="0" format="566">
      <pivotArea type="data" outline="0" fieldPosition="0">
        <references count="3">
          <reference field="4294967294" count="1" selected="0">
            <x v="0"/>
          </reference>
          <reference field="0" count="1" selected="0">
            <x v="12"/>
          </reference>
          <reference field="1" count="1" selected="0">
            <x v="3"/>
          </reference>
        </references>
      </pivotArea>
    </chartFormat>
    <chartFormat chart="0" format="567">
      <pivotArea type="data" outline="0" fieldPosition="0">
        <references count="3">
          <reference field="4294967294" count="1" selected="0">
            <x v="0"/>
          </reference>
          <reference field="0" count="1" selected="0">
            <x v="13"/>
          </reference>
          <reference field="1" count="1" selected="0">
            <x v="3"/>
          </reference>
        </references>
      </pivotArea>
    </chartFormat>
    <chartFormat chart="0" format="568">
      <pivotArea type="data" outline="0" fieldPosition="0">
        <references count="3">
          <reference field="4294967294" count="1" selected="0">
            <x v="0"/>
          </reference>
          <reference field="0" count="1" selected="0">
            <x v="14"/>
          </reference>
          <reference field="1" count="1" selected="0">
            <x v="3"/>
          </reference>
        </references>
      </pivotArea>
    </chartFormat>
    <chartFormat chart="0" format="569">
      <pivotArea type="data" outline="0" fieldPosition="0">
        <references count="3">
          <reference field="4294967294" count="1" selected="0">
            <x v="0"/>
          </reference>
          <reference field="0" count="1" selected="0">
            <x v="15"/>
          </reference>
          <reference field="1" count="1" selected="0">
            <x v="3"/>
          </reference>
        </references>
      </pivotArea>
    </chartFormat>
    <chartFormat chart="0" format="570">
      <pivotArea type="data" outline="0" fieldPosition="0">
        <references count="3">
          <reference field="4294967294" count="1" selected="0">
            <x v="0"/>
          </reference>
          <reference field="0" count="1" selected="0">
            <x v="16"/>
          </reference>
          <reference field="1" count="1" selected="0">
            <x v="3"/>
          </reference>
        </references>
      </pivotArea>
    </chartFormat>
    <chartFormat chart="0" format="571">
      <pivotArea type="data" outline="0" fieldPosition="0">
        <references count="3">
          <reference field="4294967294" count="1" selected="0">
            <x v="0"/>
          </reference>
          <reference field="0" count="1" selected="0">
            <x v="17"/>
          </reference>
          <reference field="1" count="1" selected="0">
            <x v="3"/>
          </reference>
        </references>
      </pivotArea>
    </chartFormat>
    <chartFormat chart="0" format="572">
      <pivotArea type="data" outline="0" fieldPosition="0">
        <references count="3">
          <reference field="4294967294" count="1" selected="0">
            <x v="0"/>
          </reference>
          <reference field="0" count="1" selected="0">
            <x v="18"/>
          </reference>
          <reference field="1" count="1" selected="0">
            <x v="3"/>
          </reference>
        </references>
      </pivotArea>
    </chartFormat>
    <chartFormat chart="0" format="573">
      <pivotArea type="data" outline="0" fieldPosition="0">
        <references count="3">
          <reference field="4294967294" count="1" selected="0">
            <x v="0"/>
          </reference>
          <reference field="0" count="1" selected="0">
            <x v="19"/>
          </reference>
          <reference field="1" count="1" selected="0">
            <x v="3"/>
          </reference>
        </references>
      </pivotArea>
    </chartFormat>
    <chartFormat chart="0" format="574">
      <pivotArea type="data" outline="0" fieldPosition="0">
        <references count="3">
          <reference field="4294967294" count="1" selected="0">
            <x v="0"/>
          </reference>
          <reference field="0" count="1" selected="0">
            <x v="20"/>
          </reference>
          <reference field="1" count="1" selected="0">
            <x v="3"/>
          </reference>
        </references>
      </pivotArea>
    </chartFormat>
    <chartFormat chart="0" format="575">
      <pivotArea type="data" outline="0" fieldPosition="0">
        <references count="3">
          <reference field="4294967294" count="1" selected="0">
            <x v="0"/>
          </reference>
          <reference field="0" count="1" selected="0">
            <x v="21"/>
          </reference>
          <reference field="1" count="1" selected="0">
            <x v="3"/>
          </reference>
        </references>
      </pivotArea>
    </chartFormat>
    <chartFormat chart="0" format="576">
      <pivotArea type="data" outline="0" fieldPosition="0">
        <references count="3">
          <reference field="4294967294" count="1" selected="0">
            <x v="0"/>
          </reference>
          <reference field="0" count="1" selected="0">
            <x v="22"/>
          </reference>
          <reference field="1" count="1" selected="0">
            <x v="3"/>
          </reference>
        </references>
      </pivotArea>
    </chartFormat>
    <chartFormat chart="0" format="577">
      <pivotArea type="data" outline="0" fieldPosition="0">
        <references count="3">
          <reference field="4294967294" count="1" selected="0">
            <x v="0"/>
          </reference>
          <reference field="0" count="1" selected="0">
            <x v="23"/>
          </reference>
          <reference field="1" count="1" selected="0">
            <x v="3"/>
          </reference>
        </references>
      </pivotArea>
    </chartFormat>
    <chartFormat chart="0" format="578">
      <pivotArea type="data" outline="0" fieldPosition="0">
        <references count="3">
          <reference field="4294967294" count="1" selected="0">
            <x v="0"/>
          </reference>
          <reference field="0" count="1" selected="0">
            <x v="24"/>
          </reference>
          <reference field="1" count="1" selected="0">
            <x v="3"/>
          </reference>
        </references>
      </pivotArea>
    </chartFormat>
    <chartFormat chart="0" format="579">
      <pivotArea type="data" outline="0" fieldPosition="0">
        <references count="3">
          <reference field="4294967294" count="1" selected="0">
            <x v="0"/>
          </reference>
          <reference field="0" count="1" selected="0">
            <x v="25"/>
          </reference>
          <reference field="1" count="1" selected="0">
            <x v="3"/>
          </reference>
        </references>
      </pivotArea>
    </chartFormat>
    <chartFormat chart="0" format="580">
      <pivotArea type="data" outline="0" fieldPosition="0">
        <references count="3">
          <reference field="4294967294" count="1" selected="0">
            <x v="0"/>
          </reference>
          <reference field="0" count="1" selected="0">
            <x v="26"/>
          </reference>
          <reference field="1" count="1" selected="0">
            <x v="3"/>
          </reference>
        </references>
      </pivotArea>
    </chartFormat>
    <chartFormat chart="0" format="581">
      <pivotArea type="data" outline="0" fieldPosition="0">
        <references count="3">
          <reference field="4294967294" count="1" selected="0">
            <x v="0"/>
          </reference>
          <reference field="0" count="1" selected="0">
            <x v="27"/>
          </reference>
          <reference field="1" count="1" selected="0">
            <x v="3"/>
          </reference>
        </references>
      </pivotArea>
    </chartFormat>
    <chartFormat chart="0" format="582">
      <pivotArea type="data" outline="0" fieldPosition="0">
        <references count="3">
          <reference field="4294967294" count="1" selected="0">
            <x v="0"/>
          </reference>
          <reference field="0" count="1" selected="0">
            <x v="28"/>
          </reference>
          <reference field="1" count="1" selected="0">
            <x v="3"/>
          </reference>
        </references>
      </pivotArea>
    </chartFormat>
    <chartFormat chart="0" format="583">
      <pivotArea type="data" outline="0" fieldPosition="0">
        <references count="3">
          <reference field="4294967294" count="1" selected="0">
            <x v="0"/>
          </reference>
          <reference field="0" count="1" selected="0">
            <x v="29"/>
          </reference>
          <reference field="1" count="1" selected="0">
            <x v="3"/>
          </reference>
        </references>
      </pivotArea>
    </chartFormat>
    <chartFormat chart="0" format="584">
      <pivotArea type="data" outline="0" fieldPosition="0">
        <references count="3">
          <reference field="4294967294" count="1" selected="0">
            <x v="0"/>
          </reference>
          <reference field="0" count="1" selected="0">
            <x v="30"/>
          </reference>
          <reference field="1" count="1" selected="0">
            <x v="3"/>
          </reference>
        </references>
      </pivotArea>
    </chartFormat>
    <chartFormat chart="0" format="585">
      <pivotArea type="data" outline="0" fieldPosition="0">
        <references count="3">
          <reference field="4294967294" count="1" selected="0">
            <x v="0"/>
          </reference>
          <reference field="0" count="1" selected="0">
            <x v="31"/>
          </reference>
          <reference field="1" count="1" selected="0">
            <x v="3"/>
          </reference>
        </references>
      </pivotArea>
    </chartFormat>
    <chartFormat chart="0" format="586">
      <pivotArea type="data" outline="0" fieldPosition="0">
        <references count="3">
          <reference field="4294967294" count="1" selected="0">
            <x v="0"/>
          </reference>
          <reference field="0" count="1" selected="0">
            <x v="32"/>
          </reference>
          <reference field="1" count="1" selected="0">
            <x v="3"/>
          </reference>
        </references>
      </pivotArea>
    </chartFormat>
    <chartFormat chart="0" format="587">
      <pivotArea type="data" outline="0" fieldPosition="0">
        <references count="3">
          <reference field="4294967294" count="1" selected="0">
            <x v="0"/>
          </reference>
          <reference field="0" count="1" selected="0">
            <x v="33"/>
          </reference>
          <reference field="1" count="1" selected="0">
            <x v="3"/>
          </reference>
        </references>
      </pivotArea>
    </chartFormat>
    <chartFormat chart="0" format="588">
      <pivotArea type="data" outline="0" fieldPosition="0">
        <references count="3">
          <reference field="4294967294" count="1" selected="0">
            <x v="0"/>
          </reference>
          <reference field="0" count="1" selected="0">
            <x v="34"/>
          </reference>
          <reference field="1" count="1" selected="0">
            <x v="3"/>
          </reference>
        </references>
      </pivotArea>
    </chartFormat>
    <chartFormat chart="0" format="589">
      <pivotArea type="data" outline="0" fieldPosition="0">
        <references count="3">
          <reference field="4294967294" count="1" selected="0">
            <x v="0"/>
          </reference>
          <reference field="0" count="1" selected="0">
            <x v="35"/>
          </reference>
          <reference field="1" count="1" selected="0">
            <x v="3"/>
          </reference>
        </references>
      </pivotArea>
    </chartFormat>
    <chartFormat chart="0" format="590">
      <pivotArea type="data" outline="0" fieldPosition="0">
        <references count="3">
          <reference field="4294967294" count="1" selected="0">
            <x v="0"/>
          </reference>
          <reference field="0" count="1" selected="0">
            <x v="36"/>
          </reference>
          <reference field="1" count="1" selected="0">
            <x v="3"/>
          </reference>
        </references>
      </pivotArea>
    </chartFormat>
    <chartFormat chart="0" format="591">
      <pivotArea type="data" outline="0" fieldPosition="0">
        <references count="3">
          <reference field="4294967294" count="1" selected="0">
            <x v="0"/>
          </reference>
          <reference field="0" count="1" selected="0">
            <x v="37"/>
          </reference>
          <reference field="1" count="1" selected="0">
            <x v="3"/>
          </reference>
        </references>
      </pivotArea>
    </chartFormat>
    <chartFormat chart="0" format="592">
      <pivotArea type="data" outline="0" fieldPosition="0">
        <references count="3">
          <reference field="4294967294" count="1" selected="0">
            <x v="0"/>
          </reference>
          <reference field="0" count="1" selected="0">
            <x v="38"/>
          </reference>
          <reference field="1" count="1" selected="0">
            <x v="3"/>
          </reference>
        </references>
      </pivotArea>
    </chartFormat>
    <chartFormat chart="0" format="593">
      <pivotArea type="data" outline="0" fieldPosition="0">
        <references count="3">
          <reference field="4294967294" count="1" selected="0">
            <x v="0"/>
          </reference>
          <reference field="0" count="1" selected="0">
            <x v="39"/>
          </reference>
          <reference field="1" count="1" selected="0">
            <x v="3"/>
          </reference>
        </references>
      </pivotArea>
    </chartFormat>
    <chartFormat chart="0" format="594">
      <pivotArea type="data" outline="0" fieldPosition="0">
        <references count="3">
          <reference field="4294967294" count="1" selected="0">
            <x v="0"/>
          </reference>
          <reference field="0" count="1" selected="0">
            <x v="40"/>
          </reference>
          <reference field="1" count="1" selected="0">
            <x v="3"/>
          </reference>
        </references>
      </pivotArea>
    </chartFormat>
    <chartFormat chart="0" format="595">
      <pivotArea type="data" outline="0" fieldPosition="0">
        <references count="3">
          <reference field="4294967294" count="1" selected="0">
            <x v="0"/>
          </reference>
          <reference field="0" count="1" selected="0">
            <x v="41"/>
          </reference>
          <reference field="1" count="1" selected="0">
            <x v="3"/>
          </reference>
        </references>
      </pivotArea>
    </chartFormat>
    <chartFormat chart="0" format="596">
      <pivotArea type="data" outline="0" fieldPosition="0">
        <references count="3">
          <reference field="4294967294" count="1" selected="0">
            <x v="0"/>
          </reference>
          <reference field="0" count="1" selected="0">
            <x v="42"/>
          </reference>
          <reference field="1" count="1" selected="0">
            <x v="3"/>
          </reference>
        </references>
      </pivotArea>
    </chartFormat>
    <chartFormat chart="0" format="597">
      <pivotArea type="data" outline="0" fieldPosition="0">
        <references count="3">
          <reference field="4294967294" count="1" selected="0">
            <x v="0"/>
          </reference>
          <reference field="0" count="1" selected="0">
            <x v="43"/>
          </reference>
          <reference field="1" count="1" selected="0">
            <x v="3"/>
          </reference>
        </references>
      </pivotArea>
    </chartFormat>
    <chartFormat chart="0" format="598">
      <pivotArea type="data" outline="0" fieldPosition="0">
        <references count="3">
          <reference field="4294967294" count="1" selected="0">
            <x v="0"/>
          </reference>
          <reference field="0" count="1" selected="0">
            <x v="44"/>
          </reference>
          <reference field="1" count="1" selected="0">
            <x v="3"/>
          </reference>
        </references>
      </pivotArea>
    </chartFormat>
    <chartFormat chart="0" format="599">
      <pivotArea type="data" outline="0" fieldPosition="0">
        <references count="3">
          <reference field="4294967294" count="1" selected="0">
            <x v="0"/>
          </reference>
          <reference field="0" count="1" selected="0">
            <x v="45"/>
          </reference>
          <reference field="1" count="1" selected="0">
            <x v="3"/>
          </reference>
        </references>
      </pivotArea>
    </chartFormat>
    <chartFormat chart="0" format="600">
      <pivotArea type="data" outline="0" fieldPosition="0">
        <references count="3">
          <reference field="4294967294" count="1" selected="0">
            <x v="0"/>
          </reference>
          <reference field="0" count="1" selected="0">
            <x v="46"/>
          </reference>
          <reference field="1" count="1" selected="0">
            <x v="3"/>
          </reference>
        </references>
      </pivotArea>
    </chartFormat>
    <chartFormat chart="0" format="601">
      <pivotArea type="data" outline="0" fieldPosition="0">
        <references count="3">
          <reference field="4294967294" count="1" selected="0">
            <x v="0"/>
          </reference>
          <reference field="0" count="1" selected="0">
            <x v="47"/>
          </reference>
          <reference field="1" count="1" selected="0">
            <x v="3"/>
          </reference>
        </references>
      </pivotArea>
    </chartFormat>
    <chartFormat chart="0" format="602">
      <pivotArea type="data" outline="0" fieldPosition="0">
        <references count="3">
          <reference field="4294967294" count="1" selected="0">
            <x v="0"/>
          </reference>
          <reference field="0" count="1" selected="0">
            <x v="48"/>
          </reference>
          <reference field="1" count="1" selected="0">
            <x v="3"/>
          </reference>
        </references>
      </pivotArea>
    </chartFormat>
    <chartFormat chart="0" format="603">
      <pivotArea type="data" outline="0" fieldPosition="0">
        <references count="3">
          <reference field="4294967294" count="1" selected="0">
            <x v="0"/>
          </reference>
          <reference field="0" count="1" selected="0">
            <x v="49"/>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40B1F-6973-4A25-B926-09D95814DD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56" firstHeaderRow="1" firstDataRow="2" firstDataCol="1"/>
  <pivotFields count="8">
    <pivotField axis="axisRow" showAll="0">
      <items count="51">
        <item x="32"/>
        <item x="33"/>
        <item x="34"/>
        <item x="19"/>
        <item x="20"/>
        <item x="21"/>
        <item x="24"/>
        <item x="25"/>
        <item x="28"/>
        <item x="29"/>
        <item x="30"/>
        <item x="37"/>
        <item x="38"/>
        <item x="41"/>
        <item x="42"/>
        <item x="43"/>
        <item x="45"/>
        <item x="46"/>
        <item x="47"/>
        <item x="2"/>
        <item x="3"/>
        <item x="6"/>
        <item x="7"/>
        <item x="8"/>
        <item x="11"/>
        <item x="12"/>
        <item x="15"/>
        <item x="16"/>
        <item x="17"/>
        <item x="4"/>
        <item x="13"/>
        <item x="26"/>
        <item x="0"/>
        <item x="22"/>
        <item x="9"/>
        <item x="18"/>
        <item x="5"/>
        <item x="14"/>
        <item x="27"/>
        <item x="1"/>
        <item x="23"/>
        <item x="10"/>
        <item x="35"/>
        <item x="39"/>
        <item x="48"/>
        <item x="31"/>
        <item x="44"/>
        <item x="36"/>
        <item x="40"/>
        <item x="49"/>
        <item t="default"/>
      </items>
    </pivotField>
    <pivotField axis="axisCol" showAll="0">
      <items count="5">
        <item x="1"/>
        <item x="0"/>
        <item x="2"/>
        <item x="3"/>
        <item t="default"/>
      </items>
    </pivotField>
    <pivotField showAll="0"/>
    <pivotField showAll="0"/>
    <pivotField dataField="1" showAll="0"/>
    <pivotField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followers" fld="4" baseField="0" baseItem="0"/>
  </dataFields>
  <formats count="8">
    <format dxfId="7">
      <pivotArea collapsedLevelsAreSubtotals="1" fieldPosition="0">
        <references count="2">
          <reference field="0" count="1">
            <x v="10"/>
          </reference>
          <reference field="1" count="1" selected="0">
            <x v="0"/>
          </reference>
        </references>
      </pivotArea>
    </format>
    <format dxfId="6">
      <pivotArea collapsedLevelsAreSubtotals="1" fieldPosition="0">
        <references count="2">
          <reference field="0" count="1">
            <x v="10"/>
          </reference>
          <reference field="1" count="1" selected="0">
            <x v="0"/>
          </reference>
        </references>
      </pivotArea>
    </format>
    <format dxfId="5">
      <pivotArea collapsedLevelsAreSubtotals="1" fieldPosition="0">
        <references count="2">
          <reference field="0" count="1">
            <x v="44"/>
          </reference>
          <reference field="1" count="1" selected="0">
            <x v="1"/>
          </reference>
        </references>
      </pivotArea>
    </format>
    <format dxfId="4">
      <pivotArea collapsedLevelsAreSubtotals="1" fieldPosition="0">
        <references count="2">
          <reference field="0" count="1">
            <x v="44"/>
          </reference>
          <reference field="1" count="1" selected="0">
            <x v="1"/>
          </reference>
        </references>
      </pivotArea>
    </format>
    <format dxfId="3">
      <pivotArea collapsedLevelsAreSubtotals="1" fieldPosition="0">
        <references count="2">
          <reference field="0" count="1">
            <x v="38"/>
          </reference>
          <reference field="1" count="1" selected="0">
            <x v="2"/>
          </reference>
        </references>
      </pivotArea>
    </format>
    <format dxfId="2">
      <pivotArea collapsedLevelsAreSubtotals="1" fieldPosition="0">
        <references count="2">
          <reference field="0" count="1">
            <x v="38"/>
          </reference>
          <reference field="1" count="1" selected="0">
            <x v="2"/>
          </reference>
        </references>
      </pivotArea>
    </format>
    <format dxfId="1">
      <pivotArea collapsedLevelsAreSubtotals="1" fieldPosition="0">
        <references count="2">
          <reference field="0" count="1">
            <x v="28"/>
          </reference>
          <reference field="1" count="1" selected="0">
            <x v="3"/>
          </reference>
        </references>
      </pivotArea>
    </format>
    <format dxfId="0">
      <pivotArea collapsedLevelsAreSubtotals="1" fieldPosition="0">
        <references count="2">
          <reference field="0" count="1">
            <x v="28"/>
          </reference>
          <reference field="1"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E79A2-D626-406A-92B9-048CA90EE3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ekly net follower growth">
  <location ref="A3:B54" firstHeaderRow="1" firstDataRow="1" firstDataCol="1"/>
  <pivotFields count="8">
    <pivotField axis="axisRow" showAll="0">
      <items count="51">
        <item sd="0" x="32"/>
        <item sd="0" x="33"/>
        <item sd="0" x="34"/>
        <item sd="0" x="19"/>
        <item sd="0" x="20"/>
        <item sd="0" x="21"/>
        <item sd="0" x="24"/>
        <item sd="0" x="25"/>
        <item sd="0" x="28"/>
        <item sd="0" x="29"/>
        <item sd="0" x="30"/>
        <item sd="0" x="37"/>
        <item sd="0" x="38"/>
        <item sd="0" x="41"/>
        <item sd="0" x="42"/>
        <item sd="0" x="43"/>
        <item sd="0" x="45"/>
        <item sd="0" x="46"/>
        <item sd="0" x="47"/>
        <item sd="0" x="2"/>
        <item sd="0" x="3"/>
        <item sd="0" x="6"/>
        <item sd="0" x="7"/>
        <item sd="0" x="8"/>
        <item sd="0" x="11"/>
        <item sd="0" x="12"/>
        <item sd="0" x="15"/>
        <item sd="0" x="16"/>
        <item sd="0" x="17"/>
        <item sd="0" x="4"/>
        <item sd="0" x="13"/>
        <item sd="0" x="26"/>
        <item sd="0" x="0"/>
        <item sd="0" x="22"/>
        <item sd="0" x="9"/>
        <item sd="0" x="18"/>
        <item sd="0" x="5"/>
        <item sd="0" x="14"/>
        <item sd="0" x="27"/>
        <item sd="0" x="1"/>
        <item sd="0" x="23"/>
        <item sd="0" x="10"/>
        <item sd="0" x="35"/>
        <item sd="0" x="39"/>
        <item sd="0" x="48"/>
        <item sd="0" x="31"/>
        <item sd="0" x="44"/>
        <item sd="0" x="36"/>
        <item sd="0" x="40"/>
        <item sd="0" x="49"/>
        <item t="default" sd="0"/>
      </items>
    </pivotField>
    <pivotField axis="axisRow" showAll="0">
      <items count="5">
        <item h="1" x="1"/>
        <item x="0"/>
        <item h="1" x="2"/>
        <item h="1" x="3"/>
        <item t="default"/>
      </items>
    </pivotField>
    <pivotField showAll="0"/>
    <pivotField showAll="0"/>
    <pivotField dataField="1" showAll="0"/>
    <pivotField showAll="0"/>
    <pivotField showAll="0"/>
    <pivotField showAll="0"/>
  </pivotFields>
  <rowFields count="2">
    <field x="0"/>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Net_followers" fld="4"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033299-02F0-43DB-A83C-D70039168A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C9" firstHeaderRow="0" firstDataRow="1" firstDataCol="1"/>
  <pivotFields count="8">
    <pivotField showAll="0"/>
    <pivotField axis="axisRow" showAll="0">
      <items count="5">
        <item x="1"/>
        <item x="0"/>
        <item x="2"/>
        <item x="3"/>
        <item t="default"/>
      </items>
    </pivotField>
    <pivotField showAll="0"/>
    <pivotField showAll="0"/>
    <pivotField dataField="1" showAll="0">
      <items count="194">
        <item x="192"/>
        <item x="33"/>
        <item x="16"/>
        <item x="138"/>
        <item x="37"/>
        <item x="68"/>
        <item x="175"/>
        <item x="131"/>
        <item x="25"/>
        <item x="174"/>
        <item x="126"/>
        <item x="15"/>
        <item x="152"/>
        <item x="91"/>
        <item x="94"/>
        <item x="145"/>
        <item x="62"/>
        <item x="77"/>
        <item x="64"/>
        <item x="50"/>
        <item x="42"/>
        <item x="176"/>
        <item x="97"/>
        <item x="17"/>
        <item x="95"/>
        <item x="44"/>
        <item x="19"/>
        <item x="60"/>
        <item x="73"/>
        <item x="74"/>
        <item x="177"/>
        <item x="28"/>
        <item x="27"/>
        <item x="170"/>
        <item x="6"/>
        <item x="47"/>
        <item x="53"/>
        <item x="173"/>
        <item x="155"/>
        <item x="57"/>
        <item x="79"/>
        <item x="191"/>
        <item x="76"/>
        <item x="103"/>
        <item x="165"/>
        <item x="125"/>
        <item x="21"/>
        <item x="154"/>
        <item x="31"/>
        <item x="39"/>
        <item x="38"/>
        <item x="54"/>
        <item x="11"/>
        <item x="186"/>
        <item x="93"/>
        <item x="36"/>
        <item x="78"/>
        <item x="59"/>
        <item x="84"/>
        <item x="166"/>
        <item x="190"/>
        <item x="2"/>
        <item x="128"/>
        <item x="26"/>
        <item x="80"/>
        <item x="96"/>
        <item x="182"/>
        <item x="163"/>
        <item x="164"/>
        <item x="35"/>
        <item x="23"/>
        <item x="4"/>
        <item x="87"/>
        <item x="32"/>
        <item x="22"/>
        <item x="137"/>
        <item x="107"/>
        <item x="83"/>
        <item x="69"/>
        <item x="178"/>
        <item x="121"/>
        <item x="12"/>
        <item x="81"/>
        <item x="184"/>
        <item x="167"/>
        <item x="63"/>
        <item x="159"/>
        <item x="112"/>
        <item x="149"/>
        <item x="130"/>
        <item x="113"/>
        <item x="136"/>
        <item x="179"/>
        <item x="14"/>
        <item x="123"/>
        <item x="161"/>
        <item x="188"/>
        <item x="111"/>
        <item x="100"/>
        <item x="129"/>
        <item x="8"/>
        <item x="132"/>
        <item x="153"/>
        <item x="127"/>
        <item x="90"/>
        <item x="120"/>
        <item x="156"/>
        <item x="114"/>
        <item x="140"/>
        <item x="183"/>
        <item x="29"/>
        <item x="143"/>
        <item x="7"/>
        <item x="1"/>
        <item x="66"/>
        <item x="172"/>
        <item x="150"/>
        <item x="67"/>
        <item x="171"/>
        <item x="43"/>
        <item x="89"/>
        <item x="52"/>
        <item x="0"/>
        <item x="45"/>
        <item x="135"/>
        <item x="3"/>
        <item x="58"/>
        <item x="160"/>
        <item x="104"/>
        <item x="61"/>
        <item x="92"/>
        <item x="102"/>
        <item x="146"/>
        <item x="122"/>
        <item x="141"/>
        <item x="75"/>
        <item x="134"/>
        <item x="49"/>
        <item x="158"/>
        <item x="51"/>
        <item x="5"/>
        <item x="10"/>
        <item x="151"/>
        <item x="30"/>
        <item x="40"/>
        <item x="99"/>
        <item x="41"/>
        <item x="157"/>
        <item x="18"/>
        <item x="110"/>
        <item x="105"/>
        <item x="147"/>
        <item x="109"/>
        <item x="9"/>
        <item x="162"/>
        <item x="86"/>
        <item x="133"/>
        <item x="56"/>
        <item x="108"/>
        <item x="142"/>
        <item x="119"/>
        <item x="169"/>
        <item x="82"/>
        <item x="34"/>
        <item x="187"/>
        <item x="118"/>
        <item x="181"/>
        <item x="55"/>
        <item x="115"/>
        <item x="144"/>
        <item x="88"/>
        <item x="48"/>
        <item x="101"/>
        <item x="180"/>
        <item x="189"/>
        <item x="85"/>
        <item x="72"/>
        <item x="46"/>
        <item x="13"/>
        <item x="20"/>
        <item x="168"/>
        <item x="65"/>
        <item x="98"/>
        <item x="70"/>
        <item x="148"/>
        <item x="124"/>
        <item x="139"/>
        <item x="106"/>
        <item x="116"/>
        <item x="117"/>
        <item x="24"/>
        <item x="71"/>
        <item x="185"/>
        <item t="default"/>
      </items>
    </pivotField>
    <pivotField showAll="0"/>
    <pivotField showAll="0"/>
    <pivotField dataField="1" showAll="0">
      <items count="200">
        <item x="63"/>
        <item x="15"/>
        <item x="99"/>
        <item x="179"/>
        <item x="68"/>
        <item x="175"/>
        <item x="125"/>
        <item x="21"/>
        <item x="143"/>
        <item x="105"/>
        <item x="188"/>
        <item x="197"/>
        <item x="119"/>
        <item x="73"/>
        <item x="115"/>
        <item x="32"/>
        <item x="88"/>
        <item x="97"/>
        <item x="62"/>
        <item x="0"/>
        <item x="17"/>
        <item x="159"/>
        <item x="78"/>
        <item x="190"/>
        <item x="42"/>
        <item x="76"/>
        <item x="194"/>
        <item x="134"/>
        <item x="184"/>
        <item x="5"/>
        <item x="185"/>
        <item x="153"/>
        <item x="6"/>
        <item x="121"/>
        <item x="94"/>
        <item x="163"/>
        <item x="1"/>
        <item x="4"/>
        <item x="49"/>
        <item x="157"/>
        <item x="58"/>
        <item x="46"/>
        <item x="23"/>
        <item x="139"/>
        <item x="181"/>
        <item x="8"/>
        <item x="162"/>
        <item x="173"/>
        <item x="64"/>
        <item x="69"/>
        <item x="198"/>
        <item x="129"/>
        <item x="37"/>
        <item x="54"/>
        <item x="83"/>
        <item x="113"/>
        <item x="165"/>
        <item x="186"/>
        <item x="118"/>
        <item x="44"/>
        <item x="187"/>
        <item x="127"/>
        <item x="161"/>
        <item x="126"/>
        <item x="22"/>
        <item x="31"/>
        <item x="57"/>
        <item x="85"/>
        <item x="174"/>
        <item x="193"/>
        <item x="90"/>
        <item x="34"/>
        <item x="27"/>
        <item x="124"/>
        <item x="142"/>
        <item x="12"/>
        <item x="108"/>
        <item x="112"/>
        <item x="183"/>
        <item x="137"/>
        <item x="195"/>
        <item x="170"/>
        <item x="156"/>
        <item x="136"/>
        <item x="111"/>
        <item x="182"/>
        <item x="109"/>
        <item x="169"/>
        <item x="7"/>
        <item x="81"/>
        <item x="168"/>
        <item x="160"/>
        <item x="59"/>
        <item x="45"/>
        <item x="98"/>
        <item x="10"/>
        <item x="152"/>
        <item x="107"/>
        <item x="19"/>
        <item x="150"/>
        <item x="171"/>
        <item x="172"/>
        <item x="144"/>
        <item x="132"/>
        <item x="65"/>
        <item x="11"/>
        <item x="52"/>
        <item x="146"/>
        <item x="47"/>
        <item x="120"/>
        <item x="135"/>
        <item x="53"/>
        <item x="180"/>
        <item x="28"/>
        <item x="104"/>
        <item x="30"/>
        <item x="36"/>
        <item x="55"/>
        <item x="2"/>
        <item x="48"/>
        <item x="74"/>
        <item x="26"/>
        <item x="100"/>
        <item x="164"/>
        <item x="95"/>
        <item x="18"/>
        <item x="84"/>
        <item x="61"/>
        <item x="93"/>
        <item x="67"/>
        <item x="13"/>
        <item x="3"/>
        <item x="158"/>
        <item x="14"/>
        <item x="148"/>
        <item x="25"/>
        <item x="79"/>
        <item x="189"/>
        <item x="29"/>
        <item x="50"/>
        <item x="77"/>
        <item x="41"/>
        <item x="191"/>
        <item x="155"/>
        <item x="117"/>
        <item x="43"/>
        <item x="166"/>
        <item x="89"/>
        <item x="103"/>
        <item x="75"/>
        <item x="87"/>
        <item x="70"/>
        <item x="123"/>
        <item x="149"/>
        <item x="51"/>
        <item x="102"/>
        <item x="40"/>
        <item x="92"/>
        <item x="20"/>
        <item x="66"/>
        <item x="154"/>
        <item x="33"/>
        <item x="101"/>
        <item x="178"/>
        <item x="122"/>
        <item x="96"/>
        <item x="140"/>
        <item x="56"/>
        <item x="130"/>
        <item x="106"/>
        <item x="71"/>
        <item x="16"/>
        <item x="80"/>
        <item x="145"/>
        <item x="177"/>
        <item x="131"/>
        <item x="24"/>
        <item x="72"/>
        <item x="138"/>
        <item x="147"/>
        <item x="82"/>
        <item x="133"/>
        <item x="128"/>
        <item x="110"/>
        <item x="86"/>
        <item x="9"/>
        <item x="39"/>
        <item x="60"/>
        <item x="116"/>
        <item x="176"/>
        <item x="91"/>
        <item x="141"/>
        <item x="192"/>
        <item x="167"/>
        <item x="35"/>
        <item x="38"/>
        <item x="196"/>
        <item x="114"/>
        <item x="151"/>
        <item t="default"/>
      </items>
    </pivotField>
  </pivotFields>
  <rowFields count="1">
    <field x="1"/>
  </rowFields>
  <rowItems count="5">
    <i>
      <x/>
    </i>
    <i>
      <x v="1"/>
    </i>
    <i>
      <x v="2"/>
    </i>
    <i>
      <x v="3"/>
    </i>
    <i t="grand">
      <x/>
    </i>
  </rowItems>
  <colFields count="1">
    <field x="-2"/>
  </colFields>
  <colItems count="2">
    <i>
      <x/>
    </i>
    <i i="1">
      <x v="1"/>
    </i>
  </colItems>
  <dataFields count="2">
    <dataField name="Sum of Ad_Spend" fld="7" baseField="0" baseItem="0"/>
    <dataField name="Sum of Net_followers"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4FEF7FA-EF7A-4CFB-92C1-36B4AEC03691}" sourceName="Platform">
  <pivotTables>
    <pivotTable tabId="5" name="PivotTable7"/>
  </pivotTables>
  <data>
    <tabular pivotCacheId="1261692363">
      <items count="4">
        <i x="1"/>
        <i x="0"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A488420-FDF5-4CEC-A7BC-6714EA688A92}" cache="Slicer_Platform" caption="Platfor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9865E-7A59-4495-91B7-8B477115DE96}" name="Table4" displayName="Table4" ref="A1:H201" totalsRowShown="0" headerRowDxfId="20" dataDxfId="18" headerRowBorderDxfId="19" tableBorderDxfId="17" totalsRowBorderDxfId="16">
  <autoFilter ref="A1:H201" xr:uid="{4479865E-7A59-4495-91B7-8B477115DE96}"/>
  <tableColumns count="8">
    <tableColumn id="1" xr3:uid="{58D9BD2B-1389-4F43-B056-73E162534C10}" name="Week_Start_Date" dataDxfId="15"/>
    <tableColumn id="2" xr3:uid="{7F2D45C8-E96F-46EE-8F3E-36095E5C1DE1}" name="Platform" dataDxfId="14"/>
    <tableColumn id="3" xr3:uid="{1354F679-8E73-46DD-82B5-4C67F7E11771}" name="New_Followers" dataDxfId="13"/>
    <tableColumn id="4" xr3:uid="{DB63E242-0963-4C7F-9319-701E94F3C3D1}" name="Unfollows" dataDxfId="12"/>
    <tableColumn id="10" xr3:uid="{83578A77-FB5D-4E23-958D-21F853D0D9C0}" name="Net_followers_Growth" dataDxfId="11">
      <calculatedColumnFormula>Table4[[#This Row],[New_Followers]]-Table4[[#This Row],[Unfollows]]</calculatedColumnFormula>
    </tableColumn>
    <tableColumn id="5" xr3:uid="{36493FEA-32C1-4746-A52F-737AD576130A}" name="Total_Followers" dataDxfId="10"/>
    <tableColumn id="6" xr3:uid="{ECBDA93C-991E-4313-A35D-2B565CF3A1F8}" name="Engagement_Rate" dataDxfId="9"/>
    <tableColumn id="7" xr3:uid="{794C7B9C-892B-4A76-A543-F7EE9704754F}" name="Ad_Spend"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D24F-FF53-4F43-8A32-B300FF748F30}">
  <dimension ref="A1:H201"/>
  <sheetViews>
    <sheetView workbookViewId="0">
      <selection activeCell="C14" sqref="C14"/>
    </sheetView>
  </sheetViews>
  <sheetFormatPr defaultRowHeight="14.4" x14ac:dyDescent="0.3"/>
  <cols>
    <col min="1" max="1" width="12.33203125" bestFit="1" customWidth="1"/>
    <col min="2" max="2" width="10.5546875" bestFit="1" customWidth="1"/>
    <col min="3" max="3" width="13.44140625" bestFit="1" customWidth="1"/>
    <col min="4" max="4" width="10.88671875" bestFit="1" customWidth="1"/>
    <col min="5" max="5" width="12.44140625" bestFit="1" customWidth="1"/>
    <col min="6" max="6" width="13.88671875" bestFit="1" customWidth="1"/>
    <col min="7" max="7" width="11" bestFit="1" customWidth="1"/>
    <col min="8" max="8" width="10.77734375" bestFit="1" customWidth="1"/>
    <col min="12" max="12" width="10.33203125" bestFit="1" customWidth="1"/>
  </cols>
  <sheetData>
    <row r="1" spans="1:8" ht="29.4" thickBot="1" x14ac:dyDescent="0.35">
      <c r="A1" s="10" t="s">
        <v>0</v>
      </c>
      <c r="B1" s="11" t="s">
        <v>1</v>
      </c>
      <c r="C1" s="11" t="s">
        <v>2</v>
      </c>
      <c r="D1" s="11" t="s">
        <v>3</v>
      </c>
      <c r="E1" s="11" t="s">
        <v>51</v>
      </c>
      <c r="F1" s="11" t="s">
        <v>4</v>
      </c>
      <c r="G1" s="11" t="s">
        <v>5</v>
      </c>
      <c r="H1" s="12" t="s">
        <v>6</v>
      </c>
    </row>
    <row r="2" spans="1:8" ht="15" thickBot="1" x14ac:dyDescent="0.35">
      <c r="A2" s="1">
        <v>45357</v>
      </c>
      <c r="B2" s="2" t="s">
        <v>7</v>
      </c>
      <c r="C2" s="3">
        <v>1135</v>
      </c>
      <c r="D2" s="3">
        <v>88</v>
      </c>
      <c r="E2" s="3">
        <f>Table4[[#This Row],[New_Followers]]-Table4[[#This Row],[Unfollows]]</f>
        <v>1047</v>
      </c>
      <c r="F2" s="3">
        <v>344084</v>
      </c>
      <c r="G2" s="3">
        <v>8.06</v>
      </c>
      <c r="H2" s="4">
        <v>5904</v>
      </c>
    </row>
    <row r="3" spans="1:8" ht="15" thickBot="1" x14ac:dyDescent="0.35">
      <c r="A3" s="1">
        <v>45357</v>
      </c>
      <c r="B3" s="2" t="s">
        <v>8</v>
      </c>
      <c r="C3" s="3">
        <v>1312</v>
      </c>
      <c r="D3" s="3">
        <v>310</v>
      </c>
      <c r="E3" s="3">
        <f>Table4[[#This Row],[New_Followers]]-Table4[[#This Row],[Unfollows]]</f>
        <v>1002</v>
      </c>
      <c r="F3" s="3">
        <v>42654</v>
      </c>
      <c r="G3" s="3">
        <v>4.9800000000000004</v>
      </c>
      <c r="H3" s="4">
        <v>9566</v>
      </c>
    </row>
    <row r="4" spans="1:8" ht="15" thickBot="1" x14ac:dyDescent="0.35">
      <c r="A4" s="1">
        <v>45357</v>
      </c>
      <c r="B4" s="2" t="s">
        <v>9</v>
      </c>
      <c r="C4" s="3">
        <v>584</v>
      </c>
      <c r="D4" s="3">
        <v>169</v>
      </c>
      <c r="E4" s="3">
        <f>Table4[[#This Row],[New_Followers]]-Table4[[#This Row],[Unfollows]]</f>
        <v>415</v>
      </c>
      <c r="F4" s="3">
        <v>146834</v>
      </c>
      <c r="G4" s="3">
        <v>8.31</v>
      </c>
      <c r="H4" s="4">
        <v>26752</v>
      </c>
    </row>
    <row r="5" spans="1:8" ht="15" thickBot="1" x14ac:dyDescent="0.35">
      <c r="A5" s="1">
        <v>45357</v>
      </c>
      <c r="B5" s="2" t="s">
        <v>10</v>
      </c>
      <c r="C5" s="3">
        <v>1535</v>
      </c>
      <c r="D5" s="3">
        <v>445</v>
      </c>
      <c r="E5" s="3">
        <f>Table4[[#This Row],[New_Followers]]-Table4[[#This Row],[Unfollows]]</f>
        <v>1090</v>
      </c>
      <c r="F5" s="3">
        <v>395536</v>
      </c>
      <c r="G5" s="3">
        <v>4.1100000000000003</v>
      </c>
      <c r="H5" s="4">
        <v>30671</v>
      </c>
    </row>
    <row r="6" spans="1:8" ht="15" thickBot="1" x14ac:dyDescent="0.35">
      <c r="A6" s="1">
        <v>45571</v>
      </c>
      <c r="B6" s="2" t="s">
        <v>7</v>
      </c>
      <c r="C6" s="3">
        <v>656</v>
      </c>
      <c r="D6" s="3">
        <v>139</v>
      </c>
      <c r="E6" s="3">
        <f>Table4[[#This Row],[New_Followers]]-Table4[[#This Row],[Unfollows]]</f>
        <v>517</v>
      </c>
      <c r="F6" s="3">
        <v>49157</v>
      </c>
      <c r="G6" s="3">
        <v>9.0500000000000007</v>
      </c>
      <c r="H6" s="4">
        <v>9920</v>
      </c>
    </row>
    <row r="7" spans="1:8" ht="15" thickBot="1" x14ac:dyDescent="0.35">
      <c r="A7" s="1">
        <v>45571</v>
      </c>
      <c r="B7" s="2" t="s">
        <v>8</v>
      </c>
      <c r="C7" s="3">
        <v>1697</v>
      </c>
      <c r="D7" s="3">
        <v>414</v>
      </c>
      <c r="E7" s="3">
        <f>Table4[[#This Row],[New_Followers]]-Table4[[#This Row],[Unfollows]]</f>
        <v>1283</v>
      </c>
      <c r="F7" s="3">
        <v>316555</v>
      </c>
      <c r="G7" s="3">
        <v>2.37</v>
      </c>
      <c r="H7" s="4">
        <v>7924</v>
      </c>
    </row>
    <row r="8" spans="1:8" ht="15" thickBot="1" x14ac:dyDescent="0.35">
      <c r="A8" s="1">
        <v>45571</v>
      </c>
      <c r="B8" s="2" t="s">
        <v>9</v>
      </c>
      <c r="C8" s="3">
        <v>436</v>
      </c>
      <c r="D8" s="3">
        <v>250</v>
      </c>
      <c r="E8" s="3">
        <f>Table4[[#This Row],[New_Followers]]-Table4[[#This Row],[Unfollows]]</f>
        <v>186</v>
      </c>
      <c r="F8" s="3">
        <v>254347</v>
      </c>
      <c r="G8" s="3">
        <v>4.01</v>
      </c>
      <c r="H8" s="4">
        <v>8912</v>
      </c>
    </row>
    <row r="9" spans="1:8" ht="15" thickBot="1" x14ac:dyDescent="0.35">
      <c r="A9" s="1">
        <v>45571</v>
      </c>
      <c r="B9" s="2" t="s">
        <v>10</v>
      </c>
      <c r="C9" s="3">
        <v>1197</v>
      </c>
      <c r="D9" s="3">
        <v>203</v>
      </c>
      <c r="E9" s="3">
        <f>Table4[[#This Row],[New_Followers]]-Table4[[#This Row],[Unfollows]]</f>
        <v>994</v>
      </c>
      <c r="F9" s="3">
        <v>413878</v>
      </c>
      <c r="G9" s="3">
        <v>3.16</v>
      </c>
      <c r="H9" s="4">
        <v>21205</v>
      </c>
    </row>
    <row r="10" spans="1:8" ht="15" thickBot="1" x14ac:dyDescent="0.35">
      <c r="A10" s="16" t="s">
        <v>44</v>
      </c>
      <c r="B10" s="2" t="s">
        <v>7</v>
      </c>
      <c r="C10" s="3">
        <v>1048</v>
      </c>
      <c r="D10" s="3">
        <v>155</v>
      </c>
      <c r="E10" s="3">
        <f>Table4[[#This Row],[New_Followers]]-Table4[[#This Row],[Unfollows]]</f>
        <v>893</v>
      </c>
      <c r="F10" s="3">
        <v>456946</v>
      </c>
      <c r="G10" s="3">
        <v>2.46</v>
      </c>
      <c r="H10" s="4">
        <v>11329</v>
      </c>
    </row>
    <row r="11" spans="1:8" ht="15" thickBot="1" x14ac:dyDescent="0.35">
      <c r="A11" s="1" t="s">
        <v>11</v>
      </c>
      <c r="B11" s="2" t="s">
        <v>8</v>
      </c>
      <c r="C11" s="3">
        <v>1753</v>
      </c>
      <c r="D11" s="3">
        <v>371</v>
      </c>
      <c r="E11" s="3">
        <f>Table4[[#This Row],[New_Followers]]-Table4[[#This Row],[Unfollows]]</f>
        <v>1382</v>
      </c>
      <c r="F11" s="3">
        <v>169496</v>
      </c>
      <c r="G11" s="3">
        <v>8.11</v>
      </c>
      <c r="H11" s="4">
        <v>46670</v>
      </c>
    </row>
    <row r="12" spans="1:8" ht="15" thickBot="1" x14ac:dyDescent="0.35">
      <c r="A12" s="1" t="s">
        <v>11</v>
      </c>
      <c r="B12" s="2" t="s">
        <v>9</v>
      </c>
      <c r="C12" s="3">
        <v>1335</v>
      </c>
      <c r="D12" s="3">
        <v>40</v>
      </c>
      <c r="E12" s="3">
        <f>Table4[[#This Row],[New_Followers]]-Table4[[#This Row],[Unfollows]]</f>
        <v>1295</v>
      </c>
      <c r="F12" s="3">
        <v>122732</v>
      </c>
      <c r="G12" s="3">
        <v>8.19</v>
      </c>
      <c r="H12" s="4">
        <v>22482</v>
      </c>
    </row>
    <row r="13" spans="1:8" ht="15" thickBot="1" x14ac:dyDescent="0.35">
      <c r="A13" s="1" t="s">
        <v>11</v>
      </c>
      <c r="B13" s="2" t="s">
        <v>10</v>
      </c>
      <c r="C13" s="3">
        <v>403</v>
      </c>
      <c r="D13" s="3">
        <v>66</v>
      </c>
      <c r="E13" s="3">
        <f>Table4[[#This Row],[New_Followers]]-Table4[[#This Row],[Unfollows]]</f>
        <v>337</v>
      </c>
      <c r="F13" s="3">
        <v>382851</v>
      </c>
      <c r="G13" s="3">
        <v>3.49</v>
      </c>
      <c r="H13" s="4">
        <v>24313</v>
      </c>
    </row>
    <row r="14" spans="1:8" ht="15" thickBot="1" x14ac:dyDescent="0.35">
      <c r="A14" s="1" t="s">
        <v>12</v>
      </c>
      <c r="B14" s="2" t="s">
        <v>7</v>
      </c>
      <c r="C14" s="3">
        <v>911</v>
      </c>
      <c r="D14" s="3">
        <v>282</v>
      </c>
      <c r="E14" s="3">
        <f>Table4[[#This Row],[New_Followers]]-Table4[[#This Row],[Unfollows]]</f>
        <v>629</v>
      </c>
      <c r="F14" s="3">
        <v>35664</v>
      </c>
      <c r="G14" s="3">
        <v>6.92</v>
      </c>
      <c r="H14" s="4">
        <v>18050</v>
      </c>
    </row>
    <row r="15" spans="1:8" ht="15" thickBot="1" x14ac:dyDescent="0.35">
      <c r="A15" s="1" t="s">
        <v>12</v>
      </c>
      <c r="B15" s="2" t="s">
        <v>8</v>
      </c>
      <c r="C15" s="3">
        <v>1779</v>
      </c>
      <c r="D15" s="3">
        <v>109</v>
      </c>
      <c r="E15" s="3">
        <f>Table4[[#This Row],[New_Followers]]-Table4[[#This Row],[Unfollows]]</f>
        <v>1670</v>
      </c>
      <c r="F15" s="3">
        <v>26295</v>
      </c>
      <c r="G15" s="3">
        <v>9.1199999999999992</v>
      </c>
      <c r="H15" s="4">
        <v>30635</v>
      </c>
    </row>
    <row r="16" spans="1:8" ht="15" thickBot="1" x14ac:dyDescent="0.35">
      <c r="A16" s="1" t="s">
        <v>12</v>
      </c>
      <c r="B16" s="2" t="s">
        <v>9</v>
      </c>
      <c r="C16" s="3">
        <v>1238</v>
      </c>
      <c r="D16" s="3">
        <v>403</v>
      </c>
      <c r="E16" s="3">
        <f>Table4[[#This Row],[New_Followers]]-Table4[[#This Row],[Unfollows]]</f>
        <v>835</v>
      </c>
      <c r="F16" s="3">
        <v>298421</v>
      </c>
      <c r="G16" s="3">
        <v>3.5</v>
      </c>
      <c r="H16" s="4">
        <v>31280</v>
      </c>
    </row>
    <row r="17" spans="1:8" ht="15" thickBot="1" x14ac:dyDescent="0.35">
      <c r="A17" s="1" t="s">
        <v>12</v>
      </c>
      <c r="B17" s="2" t="s">
        <v>10</v>
      </c>
      <c r="C17" s="3">
        <v>308</v>
      </c>
      <c r="D17" s="3">
        <v>431</v>
      </c>
      <c r="E17" s="3">
        <f>Table4[[#This Row],[New_Followers]]-Table4[[#This Row],[Unfollows]]</f>
        <v>-123</v>
      </c>
      <c r="F17" s="3">
        <v>426184</v>
      </c>
      <c r="G17" s="3">
        <v>2.62</v>
      </c>
      <c r="H17" s="4">
        <v>1783</v>
      </c>
    </row>
    <row r="18" spans="1:8" ht="15" thickBot="1" x14ac:dyDescent="0.35">
      <c r="A18" s="1">
        <v>45298</v>
      </c>
      <c r="B18" s="2" t="s">
        <v>7</v>
      </c>
      <c r="C18" s="3">
        <v>226</v>
      </c>
      <c r="D18" s="3">
        <v>445</v>
      </c>
      <c r="E18" s="3">
        <f>Table4[[#This Row],[New_Followers]]-Table4[[#This Row],[Unfollows]]</f>
        <v>-219</v>
      </c>
      <c r="F18" s="3">
        <v>419447</v>
      </c>
      <c r="G18" s="3">
        <v>9.36</v>
      </c>
      <c r="H18" s="4">
        <v>9566</v>
      </c>
    </row>
    <row r="19" spans="1:8" ht="15" thickBot="1" x14ac:dyDescent="0.35">
      <c r="A19" s="1">
        <v>45298</v>
      </c>
      <c r="B19" s="2" t="s">
        <v>8</v>
      </c>
      <c r="C19" s="3">
        <v>505</v>
      </c>
      <c r="D19" s="3">
        <v>441</v>
      </c>
      <c r="E19" s="3">
        <f>Table4[[#This Row],[New_Followers]]-Table4[[#This Row],[Unfollows]]</f>
        <v>64</v>
      </c>
      <c r="F19" s="3">
        <v>220020</v>
      </c>
      <c r="G19" s="3">
        <v>4.4800000000000004</v>
      </c>
      <c r="H19" s="4">
        <v>42307</v>
      </c>
    </row>
    <row r="20" spans="1:8" ht="15" thickBot="1" x14ac:dyDescent="0.35">
      <c r="A20" s="1">
        <v>45298</v>
      </c>
      <c r="B20" s="2" t="s">
        <v>9</v>
      </c>
      <c r="C20" s="3">
        <v>1420</v>
      </c>
      <c r="D20" s="3">
        <v>63</v>
      </c>
      <c r="E20" s="3">
        <f>Table4[[#This Row],[New_Followers]]-Table4[[#This Row],[Unfollows]]</f>
        <v>1357</v>
      </c>
      <c r="F20" s="3">
        <v>315305</v>
      </c>
      <c r="G20" s="3">
        <v>6.19</v>
      </c>
      <c r="H20" s="4">
        <v>5914</v>
      </c>
    </row>
    <row r="21" spans="1:8" ht="15" thickBot="1" x14ac:dyDescent="0.35">
      <c r="A21" s="1">
        <v>45298</v>
      </c>
      <c r="B21" s="2" t="s">
        <v>10</v>
      </c>
      <c r="C21" s="3">
        <v>144</v>
      </c>
      <c r="D21" s="3">
        <v>53</v>
      </c>
      <c r="E21" s="3">
        <f>Table4[[#This Row],[New_Followers]]-Table4[[#This Row],[Unfollows]]</f>
        <v>91</v>
      </c>
      <c r="F21" s="3">
        <v>113678</v>
      </c>
      <c r="G21" s="3">
        <v>8.7200000000000006</v>
      </c>
      <c r="H21" s="4">
        <v>30060</v>
      </c>
    </row>
    <row r="22" spans="1:8" ht="15" thickBot="1" x14ac:dyDescent="0.35">
      <c r="A22" s="1">
        <v>45511</v>
      </c>
      <c r="B22" s="2" t="s">
        <v>7</v>
      </c>
      <c r="C22" s="3">
        <v>1757</v>
      </c>
      <c r="D22" s="3">
        <v>85</v>
      </c>
      <c r="E22" s="3">
        <f>Table4[[#This Row],[New_Followers]]-Table4[[#This Row],[Unfollows]]</f>
        <v>1672</v>
      </c>
      <c r="F22" s="3">
        <v>58223</v>
      </c>
      <c r="G22" s="3">
        <v>8.74</v>
      </c>
      <c r="H22" s="4">
        <v>22728</v>
      </c>
    </row>
    <row r="23" spans="1:8" ht="15" thickBot="1" x14ac:dyDescent="0.35">
      <c r="A23" s="1">
        <v>45511</v>
      </c>
      <c r="B23" s="2" t="s">
        <v>8</v>
      </c>
      <c r="C23" s="3">
        <v>350</v>
      </c>
      <c r="D23" s="3">
        <v>41</v>
      </c>
      <c r="E23" s="3">
        <f>Table4[[#This Row],[New_Followers]]-Table4[[#This Row],[Unfollows]]</f>
        <v>309</v>
      </c>
      <c r="F23" s="3">
        <v>251694</v>
      </c>
      <c r="G23" s="3">
        <v>1.91</v>
      </c>
      <c r="H23" s="4">
        <v>38610</v>
      </c>
    </row>
    <row r="24" spans="1:8" ht="15" thickBot="1" x14ac:dyDescent="0.35">
      <c r="A24" s="1">
        <v>45511</v>
      </c>
      <c r="B24" s="2" t="s">
        <v>9</v>
      </c>
      <c r="C24" s="3">
        <v>987</v>
      </c>
      <c r="D24" s="3">
        <v>440</v>
      </c>
      <c r="E24" s="3">
        <f>Table4[[#This Row],[New_Followers]]-Table4[[#This Row],[Unfollows]]</f>
        <v>547</v>
      </c>
      <c r="F24" s="3">
        <v>389810</v>
      </c>
      <c r="G24" s="3">
        <v>4.66</v>
      </c>
      <c r="H24" s="4">
        <v>2932</v>
      </c>
    </row>
    <row r="25" spans="1:8" ht="15" thickBot="1" x14ac:dyDescent="0.35">
      <c r="A25" s="1">
        <v>45511</v>
      </c>
      <c r="B25" s="2" t="s">
        <v>10</v>
      </c>
      <c r="C25" s="3">
        <v>883</v>
      </c>
      <c r="D25" s="3">
        <v>369</v>
      </c>
      <c r="E25" s="3">
        <f>Table4[[#This Row],[New_Followers]]-Table4[[#This Row],[Unfollows]]</f>
        <v>514</v>
      </c>
      <c r="F25" s="3">
        <v>233694</v>
      </c>
      <c r="G25" s="3">
        <v>2.88</v>
      </c>
      <c r="H25" s="4">
        <v>15071</v>
      </c>
    </row>
    <row r="26" spans="1:8" ht="15" thickBot="1" x14ac:dyDescent="0.35">
      <c r="A26" s="5" t="s">
        <v>13</v>
      </c>
      <c r="B26" s="2" t="s">
        <v>7</v>
      </c>
      <c r="C26" s="3">
        <v>1960</v>
      </c>
      <c r="D26" s="3">
        <v>115</v>
      </c>
      <c r="E26" s="3">
        <f>Table4[[#This Row],[New_Followers]]-Table4[[#This Row],[Unfollows]]</f>
        <v>1845</v>
      </c>
      <c r="F26" s="3">
        <v>154169</v>
      </c>
      <c r="G26" s="3">
        <v>3.74</v>
      </c>
      <c r="H26" s="4">
        <v>10740</v>
      </c>
    </row>
    <row r="27" spans="1:8" ht="15" thickBot="1" x14ac:dyDescent="0.35">
      <c r="A27" s="5" t="s">
        <v>13</v>
      </c>
      <c r="B27" s="2" t="s">
        <v>8</v>
      </c>
      <c r="C27" s="3">
        <v>170</v>
      </c>
      <c r="D27" s="3">
        <v>334</v>
      </c>
      <c r="E27" s="3">
        <f>Table4[[#This Row],[New_Followers]]-Table4[[#This Row],[Unfollows]]</f>
        <v>-164</v>
      </c>
      <c r="F27" s="3">
        <v>334626</v>
      </c>
      <c r="G27" s="3">
        <v>6.44</v>
      </c>
      <c r="H27" s="4">
        <v>43420</v>
      </c>
    </row>
    <row r="28" spans="1:8" ht="15" thickBot="1" x14ac:dyDescent="0.35">
      <c r="A28" s="5" t="s">
        <v>13</v>
      </c>
      <c r="B28" s="2" t="s">
        <v>9</v>
      </c>
      <c r="C28" s="3">
        <v>704</v>
      </c>
      <c r="D28" s="3">
        <v>275</v>
      </c>
      <c r="E28" s="3">
        <f>Table4[[#This Row],[New_Followers]]-Table4[[#This Row],[Unfollows]]</f>
        <v>429</v>
      </c>
      <c r="F28" s="3">
        <v>226002</v>
      </c>
      <c r="G28" s="3">
        <v>8.56</v>
      </c>
      <c r="H28" s="4">
        <v>32393</v>
      </c>
    </row>
    <row r="29" spans="1:8" ht="15" thickBot="1" x14ac:dyDescent="0.35">
      <c r="A29" s="5" t="s">
        <v>13</v>
      </c>
      <c r="B29" s="2" t="s">
        <v>10</v>
      </c>
      <c r="C29" s="3">
        <v>224</v>
      </c>
      <c r="D29" s="3">
        <v>64</v>
      </c>
      <c r="E29" s="3">
        <f>Table4[[#This Row],[New_Followers]]-Table4[[#This Row],[Unfollows]]</f>
        <v>160</v>
      </c>
      <c r="F29" s="3">
        <v>156683</v>
      </c>
      <c r="G29" s="3">
        <v>4.5599999999999996</v>
      </c>
      <c r="H29" s="4">
        <v>28474</v>
      </c>
    </row>
    <row r="30" spans="1:8" ht="15" thickBot="1" x14ac:dyDescent="0.35">
      <c r="A30" s="5" t="s">
        <v>14</v>
      </c>
      <c r="B30" s="2" t="s">
        <v>7</v>
      </c>
      <c r="C30" s="3">
        <v>508</v>
      </c>
      <c r="D30" s="3">
        <v>349</v>
      </c>
      <c r="E30" s="3">
        <f>Table4[[#This Row],[New_Followers]]-Table4[[#This Row],[Unfollows]]</f>
        <v>159</v>
      </c>
      <c r="F30" s="3">
        <v>473812</v>
      </c>
      <c r="G30" s="3">
        <v>7.88</v>
      </c>
      <c r="H30" s="4">
        <v>17328</v>
      </c>
    </row>
    <row r="31" spans="1:8" ht="15" thickBot="1" x14ac:dyDescent="0.35">
      <c r="A31" s="5" t="s">
        <v>14</v>
      </c>
      <c r="B31" s="2" t="s">
        <v>8</v>
      </c>
      <c r="C31" s="3">
        <v>1391</v>
      </c>
      <c r="D31" s="3">
        <v>430</v>
      </c>
      <c r="E31" s="3">
        <f>Table4[[#This Row],[New_Followers]]-Table4[[#This Row],[Unfollows]]</f>
        <v>961</v>
      </c>
      <c r="F31" s="3">
        <v>295032</v>
      </c>
      <c r="G31" s="3">
        <v>7.86</v>
      </c>
      <c r="H31" s="4">
        <v>26067</v>
      </c>
    </row>
    <row r="32" spans="1:8" ht="15" thickBot="1" x14ac:dyDescent="0.35">
      <c r="A32" s="5" t="s">
        <v>14</v>
      </c>
      <c r="B32" s="2" t="s">
        <v>9</v>
      </c>
      <c r="C32" s="3">
        <v>1701</v>
      </c>
      <c r="D32" s="3">
        <v>385</v>
      </c>
      <c r="E32" s="3">
        <f>Table4[[#This Row],[New_Followers]]-Table4[[#This Row],[Unfollows]]</f>
        <v>1316</v>
      </c>
      <c r="F32" s="3">
        <v>198278</v>
      </c>
      <c r="G32" s="3">
        <v>5.34</v>
      </c>
      <c r="H32" s="4">
        <v>32763</v>
      </c>
    </row>
    <row r="33" spans="1:8" ht="15" thickBot="1" x14ac:dyDescent="0.35">
      <c r="A33" s="5" t="s">
        <v>14</v>
      </c>
      <c r="B33" s="2" t="s">
        <v>10</v>
      </c>
      <c r="C33" s="3">
        <v>804</v>
      </c>
      <c r="D33" s="3">
        <v>487</v>
      </c>
      <c r="E33" s="3">
        <f>Table4[[#This Row],[New_Followers]]-Table4[[#This Row],[Unfollows]]</f>
        <v>317</v>
      </c>
      <c r="F33" s="3">
        <v>306564</v>
      </c>
      <c r="G33" s="3">
        <v>5.52</v>
      </c>
      <c r="H33" s="4">
        <v>26452</v>
      </c>
    </row>
    <row r="34" spans="1:8" ht="15" thickBot="1" x14ac:dyDescent="0.35">
      <c r="A34" s="5" t="s">
        <v>15</v>
      </c>
      <c r="B34" s="2" t="s">
        <v>7</v>
      </c>
      <c r="C34" s="3">
        <v>653</v>
      </c>
      <c r="D34" s="3">
        <v>112</v>
      </c>
      <c r="E34" s="3">
        <f>Table4[[#This Row],[New_Followers]]-Table4[[#This Row],[Unfollows]]</f>
        <v>541</v>
      </c>
      <c r="F34" s="3">
        <v>23664</v>
      </c>
      <c r="G34" s="3">
        <v>4.05</v>
      </c>
      <c r="H34" s="4">
        <v>15353</v>
      </c>
    </row>
    <row r="35" spans="1:8" ht="15" thickBot="1" x14ac:dyDescent="0.35">
      <c r="A35" s="5" t="s">
        <v>15</v>
      </c>
      <c r="B35" s="2" t="s">
        <v>8</v>
      </c>
      <c r="C35" s="3">
        <v>160</v>
      </c>
      <c r="D35" s="3">
        <v>478</v>
      </c>
      <c r="E35" s="3">
        <f>Table4[[#This Row],[New_Followers]]-Table4[[#This Row],[Unfollows]]</f>
        <v>-318</v>
      </c>
      <c r="F35" s="3">
        <v>435034</v>
      </c>
      <c r="G35" s="3">
        <v>7.73</v>
      </c>
      <c r="H35" s="4">
        <v>4839</v>
      </c>
    </row>
    <row r="36" spans="1:8" ht="15" thickBot="1" x14ac:dyDescent="0.35">
      <c r="A36" s="5" t="s">
        <v>15</v>
      </c>
      <c r="B36" s="2" t="s">
        <v>9</v>
      </c>
      <c r="C36" s="3">
        <v>1756</v>
      </c>
      <c r="D36" s="3">
        <v>261</v>
      </c>
      <c r="E36" s="3">
        <f>Table4[[#This Row],[New_Followers]]-Table4[[#This Row],[Unfollows]]</f>
        <v>1495</v>
      </c>
      <c r="F36" s="3">
        <v>287574</v>
      </c>
      <c r="G36" s="3">
        <v>4.3600000000000003</v>
      </c>
      <c r="H36" s="4">
        <v>39272</v>
      </c>
    </row>
    <row r="37" spans="1:8" ht="15" thickBot="1" x14ac:dyDescent="0.35">
      <c r="A37" s="5" t="s">
        <v>15</v>
      </c>
      <c r="B37" s="2" t="s">
        <v>10</v>
      </c>
      <c r="C37" s="3">
        <v>576</v>
      </c>
      <c r="D37" s="3">
        <v>101</v>
      </c>
      <c r="E37" s="3">
        <f>Table4[[#This Row],[New_Followers]]-Table4[[#This Row],[Unfollows]]</f>
        <v>475</v>
      </c>
      <c r="F37" s="3">
        <v>62499</v>
      </c>
      <c r="G37" s="3">
        <v>3.48</v>
      </c>
      <c r="H37" s="4">
        <v>16804</v>
      </c>
    </row>
    <row r="38" spans="1:8" ht="15" thickBot="1" x14ac:dyDescent="0.35">
      <c r="A38" s="1">
        <v>45420</v>
      </c>
      <c r="B38" s="2" t="s">
        <v>7</v>
      </c>
      <c r="C38" s="3">
        <v>645</v>
      </c>
      <c r="D38" s="3">
        <v>293</v>
      </c>
      <c r="E38" s="3">
        <f>Table4[[#This Row],[New_Followers]]-Table4[[#This Row],[Unfollows]]</f>
        <v>352</v>
      </c>
      <c r="F38" s="3">
        <v>437968</v>
      </c>
      <c r="G38" s="3">
        <v>7.83</v>
      </c>
      <c r="H38" s="4">
        <v>49303</v>
      </c>
    </row>
    <row r="39" spans="1:8" ht="15" thickBot="1" x14ac:dyDescent="0.35">
      <c r="A39" s="1">
        <v>45420</v>
      </c>
      <c r="B39" s="2" t="s">
        <v>8</v>
      </c>
      <c r="C39" s="3">
        <v>214</v>
      </c>
      <c r="D39" s="3">
        <v>411</v>
      </c>
      <c r="E39" s="3">
        <f>Table4[[#This Row],[New_Followers]]-Table4[[#This Row],[Unfollows]]</f>
        <v>-197</v>
      </c>
      <c r="F39" s="3">
        <v>125034</v>
      </c>
      <c r="G39" s="3">
        <v>6.11</v>
      </c>
      <c r="H39" s="4">
        <v>26455</v>
      </c>
    </row>
    <row r="40" spans="1:8" ht="15" thickBot="1" x14ac:dyDescent="0.35">
      <c r="A40" s="1">
        <v>45420</v>
      </c>
      <c r="B40" s="2" t="s">
        <v>9</v>
      </c>
      <c r="C40" s="3">
        <v>826</v>
      </c>
      <c r="D40" s="3">
        <v>498</v>
      </c>
      <c r="E40" s="3">
        <f>Table4[[#This Row],[New_Followers]]-Table4[[#This Row],[Unfollows]]</f>
        <v>328</v>
      </c>
      <c r="F40" s="3">
        <v>449994</v>
      </c>
      <c r="G40" s="3">
        <v>9.43</v>
      </c>
      <c r="H40" s="4">
        <v>12384</v>
      </c>
    </row>
    <row r="41" spans="1:8" ht="15" thickBot="1" x14ac:dyDescent="0.35">
      <c r="A41" s="1">
        <v>45420</v>
      </c>
      <c r="B41" s="2" t="s">
        <v>10</v>
      </c>
      <c r="C41" s="3">
        <v>460</v>
      </c>
      <c r="D41" s="3">
        <v>141</v>
      </c>
      <c r="E41" s="3">
        <f>Table4[[#This Row],[New_Followers]]-Table4[[#This Row],[Unfollows]]</f>
        <v>319</v>
      </c>
      <c r="F41" s="3">
        <v>320650</v>
      </c>
      <c r="G41" s="3">
        <v>4.04</v>
      </c>
      <c r="H41" s="4">
        <v>49372</v>
      </c>
    </row>
    <row r="42" spans="1:8" ht="15" thickBot="1" x14ac:dyDescent="0.35">
      <c r="A42" s="1">
        <v>45634</v>
      </c>
      <c r="B42" s="2" t="s">
        <v>7</v>
      </c>
      <c r="C42" s="3">
        <v>1528</v>
      </c>
      <c r="D42" s="3">
        <v>203</v>
      </c>
      <c r="E42" s="3">
        <f>Table4[[#This Row],[New_Followers]]-Table4[[#This Row],[Unfollows]]</f>
        <v>1325</v>
      </c>
      <c r="F42" s="3">
        <v>489188</v>
      </c>
      <c r="G42" s="3">
        <v>6.23</v>
      </c>
      <c r="H42" s="4">
        <v>47101</v>
      </c>
    </row>
    <row r="43" spans="1:8" ht="15" thickBot="1" x14ac:dyDescent="0.35">
      <c r="A43" s="1">
        <v>45634</v>
      </c>
      <c r="B43" s="2" t="s">
        <v>8</v>
      </c>
      <c r="C43" s="3">
        <v>1534</v>
      </c>
      <c r="D43" s="3">
        <v>200</v>
      </c>
      <c r="E43" s="3">
        <f>Table4[[#This Row],[New_Followers]]-Table4[[#This Row],[Unfollows]]</f>
        <v>1334</v>
      </c>
      <c r="F43" s="3">
        <v>307612</v>
      </c>
      <c r="G43" s="3">
        <v>6.01</v>
      </c>
      <c r="H43" s="4">
        <v>37903</v>
      </c>
    </row>
    <row r="44" spans="1:8" ht="15" thickBot="1" x14ac:dyDescent="0.35">
      <c r="A44" s="1">
        <v>45634</v>
      </c>
      <c r="B44" s="2" t="s">
        <v>9</v>
      </c>
      <c r="C44" s="3">
        <v>485</v>
      </c>
      <c r="D44" s="3">
        <v>448</v>
      </c>
      <c r="E44" s="3">
        <f>Table4[[#This Row],[New_Followers]]-Table4[[#This Row],[Unfollows]]</f>
        <v>37</v>
      </c>
      <c r="F44" s="3">
        <v>434883</v>
      </c>
      <c r="G44" s="3">
        <v>8.5500000000000007</v>
      </c>
      <c r="H44" s="4">
        <v>33258</v>
      </c>
    </row>
    <row r="45" spans="1:8" ht="15" thickBot="1" x14ac:dyDescent="0.35">
      <c r="A45" s="1">
        <v>45634</v>
      </c>
      <c r="B45" s="2" t="s">
        <v>10</v>
      </c>
      <c r="C45" s="3">
        <v>1210</v>
      </c>
      <c r="D45" s="3">
        <v>178</v>
      </c>
      <c r="E45" s="3">
        <f>Table4[[#This Row],[New_Followers]]-Table4[[#This Row],[Unfollows]]</f>
        <v>1032</v>
      </c>
      <c r="F45" s="3">
        <v>102042</v>
      </c>
      <c r="G45" s="3">
        <v>5.42</v>
      </c>
      <c r="H45" s="4">
        <v>6915</v>
      </c>
    </row>
    <row r="46" spans="1:8" ht="15" thickBot="1" x14ac:dyDescent="0.35">
      <c r="A46" s="5" t="s">
        <v>16</v>
      </c>
      <c r="B46" s="2" t="s">
        <v>7</v>
      </c>
      <c r="C46" s="3">
        <v>215</v>
      </c>
      <c r="D46" s="3">
        <v>139</v>
      </c>
      <c r="E46" s="3">
        <f>Table4[[#This Row],[New_Followers]]-Table4[[#This Row],[Unfollows]]</f>
        <v>76</v>
      </c>
      <c r="F46" s="3">
        <v>325444</v>
      </c>
      <c r="G46" s="3">
        <v>3.25</v>
      </c>
      <c r="H46" s="4">
        <v>35501</v>
      </c>
    </row>
    <row r="47" spans="1:8" ht="15" thickBot="1" x14ac:dyDescent="0.35">
      <c r="A47" s="5" t="s">
        <v>16</v>
      </c>
      <c r="B47" s="2" t="s">
        <v>8</v>
      </c>
      <c r="C47" s="3">
        <v>1078</v>
      </c>
      <c r="D47" s="3">
        <v>20</v>
      </c>
      <c r="E47" s="3">
        <f>Table4[[#This Row],[New_Followers]]-Table4[[#This Row],[Unfollows]]</f>
        <v>1058</v>
      </c>
      <c r="F47" s="3">
        <v>183924</v>
      </c>
      <c r="G47" s="3">
        <v>8.84</v>
      </c>
      <c r="H47" s="4">
        <v>14203</v>
      </c>
    </row>
    <row r="48" spans="1:8" ht="15" thickBot="1" x14ac:dyDescent="0.35">
      <c r="A48" s="5" t="s">
        <v>16</v>
      </c>
      <c r="B48" s="2" t="s">
        <v>9</v>
      </c>
      <c r="C48" s="3">
        <v>1751</v>
      </c>
      <c r="D48" s="3">
        <v>86</v>
      </c>
      <c r="E48" s="3">
        <f>Table4[[#This Row],[New_Followers]]-Table4[[#This Row],[Unfollows]]</f>
        <v>1665</v>
      </c>
      <c r="F48" s="3">
        <v>188655</v>
      </c>
      <c r="G48" s="3">
        <v>7.24</v>
      </c>
      <c r="H48" s="4">
        <v>22206</v>
      </c>
    </row>
    <row r="49" spans="1:8" ht="15" thickBot="1" x14ac:dyDescent="0.35">
      <c r="A49" s="5" t="s">
        <v>16</v>
      </c>
      <c r="B49" s="2" t="s">
        <v>10</v>
      </c>
      <c r="C49" s="3">
        <v>221</v>
      </c>
      <c r="D49" s="3">
        <v>31</v>
      </c>
      <c r="E49" s="3">
        <f>Table4[[#This Row],[New_Followers]]-Table4[[#This Row],[Unfollows]]</f>
        <v>190</v>
      </c>
      <c r="F49" s="3">
        <v>87443</v>
      </c>
      <c r="G49" s="3">
        <v>6.19</v>
      </c>
      <c r="H49" s="4">
        <v>10283</v>
      </c>
    </row>
    <row r="50" spans="1:8" ht="15" thickBot="1" x14ac:dyDescent="0.35">
      <c r="A50" s="5" t="s">
        <v>17</v>
      </c>
      <c r="B50" s="2" t="s">
        <v>7</v>
      </c>
      <c r="C50" s="3">
        <v>1685</v>
      </c>
      <c r="D50" s="3">
        <v>76</v>
      </c>
      <c r="E50" s="3">
        <f>Table4[[#This Row],[New_Followers]]-Table4[[#This Row],[Unfollows]]</f>
        <v>1609</v>
      </c>
      <c r="F50" s="3">
        <v>453799</v>
      </c>
      <c r="G50" s="3">
        <v>5.71</v>
      </c>
      <c r="H50" s="4">
        <v>24913</v>
      </c>
    </row>
    <row r="51" spans="1:8" ht="15" thickBot="1" x14ac:dyDescent="0.35">
      <c r="A51" s="5" t="s">
        <v>17</v>
      </c>
      <c r="B51" s="2" t="s">
        <v>8</v>
      </c>
      <c r="C51" s="3">
        <v>248</v>
      </c>
      <c r="D51" s="3">
        <v>211</v>
      </c>
      <c r="E51" s="3">
        <f>Table4[[#This Row],[New_Followers]]-Table4[[#This Row],[Unfollows]]</f>
        <v>37</v>
      </c>
      <c r="F51" s="3">
        <v>379380</v>
      </c>
      <c r="G51" s="3">
        <v>9.0399999999999991</v>
      </c>
      <c r="H51" s="4">
        <v>26925</v>
      </c>
    </row>
    <row r="52" spans="1:8" ht="15" thickBot="1" x14ac:dyDescent="0.35">
      <c r="A52" s="5" t="s">
        <v>17</v>
      </c>
      <c r="B52" s="2" t="s">
        <v>9</v>
      </c>
      <c r="C52" s="3">
        <v>1300</v>
      </c>
      <c r="D52" s="3">
        <v>71</v>
      </c>
      <c r="E52" s="3">
        <f>Table4[[#This Row],[New_Followers]]-Table4[[#This Row],[Unfollows]]</f>
        <v>1229</v>
      </c>
      <c r="F52" s="3">
        <v>186454</v>
      </c>
      <c r="G52" s="3">
        <v>3.91</v>
      </c>
      <c r="H52" s="4">
        <v>9942</v>
      </c>
    </row>
    <row r="53" spans="1:8" ht="15" thickBot="1" x14ac:dyDescent="0.35">
      <c r="A53" s="5" t="s">
        <v>17</v>
      </c>
      <c r="B53" s="2" t="s">
        <v>10</v>
      </c>
      <c r="C53" s="3">
        <v>422</v>
      </c>
      <c r="D53" s="3">
        <v>394</v>
      </c>
      <c r="E53" s="3">
        <f>Table4[[#This Row],[New_Followers]]-Table4[[#This Row],[Unfollows]]</f>
        <v>28</v>
      </c>
      <c r="F53" s="3">
        <v>239044</v>
      </c>
      <c r="G53" s="3">
        <v>7.83</v>
      </c>
      <c r="H53" s="4">
        <v>32929</v>
      </c>
    </row>
    <row r="54" spans="1:8" ht="15" thickBot="1" x14ac:dyDescent="0.35">
      <c r="A54" s="1">
        <v>45331</v>
      </c>
      <c r="B54" s="2" t="s">
        <v>7</v>
      </c>
      <c r="C54" s="3">
        <v>1429</v>
      </c>
      <c r="D54" s="3">
        <v>182</v>
      </c>
      <c r="E54" s="3">
        <f>Table4[[#This Row],[New_Followers]]-Table4[[#This Row],[Unfollows]]</f>
        <v>1247</v>
      </c>
      <c r="F54" s="3">
        <v>101332</v>
      </c>
      <c r="G54" s="3">
        <v>7.16</v>
      </c>
      <c r="H54" s="4">
        <v>37829</v>
      </c>
    </row>
    <row r="55" spans="1:8" ht="15" thickBot="1" x14ac:dyDescent="0.35">
      <c r="A55" s="1">
        <v>45331</v>
      </c>
      <c r="B55" s="2" t="s">
        <v>8</v>
      </c>
      <c r="C55" s="3">
        <v>1520</v>
      </c>
      <c r="D55" s="3">
        <v>475</v>
      </c>
      <c r="E55" s="3">
        <f>Table4[[#This Row],[New_Followers]]-Table4[[#This Row],[Unfollows]]</f>
        <v>1045</v>
      </c>
      <c r="F55" s="3">
        <v>496982</v>
      </c>
      <c r="G55" s="3">
        <v>6.41</v>
      </c>
      <c r="H55" s="4">
        <v>24384</v>
      </c>
    </row>
    <row r="56" spans="1:8" ht="15" thickBot="1" x14ac:dyDescent="0.35">
      <c r="A56" s="1">
        <v>45331</v>
      </c>
      <c r="B56" s="2" t="s">
        <v>9</v>
      </c>
      <c r="C56" s="3">
        <v>557</v>
      </c>
      <c r="D56" s="3">
        <v>360</v>
      </c>
      <c r="E56" s="3">
        <f>Table4[[#This Row],[New_Followers]]-Table4[[#This Row],[Unfollows]]</f>
        <v>197</v>
      </c>
      <c r="F56" s="3">
        <v>318779</v>
      </c>
      <c r="G56" s="3">
        <v>8.02</v>
      </c>
      <c r="H56" s="4">
        <v>25797</v>
      </c>
    </row>
    <row r="57" spans="1:8" ht="15" thickBot="1" x14ac:dyDescent="0.35">
      <c r="A57" s="1">
        <v>45331</v>
      </c>
      <c r="B57" s="2" t="s">
        <v>10</v>
      </c>
      <c r="C57" s="3">
        <v>728</v>
      </c>
      <c r="D57" s="3">
        <v>395</v>
      </c>
      <c r="E57" s="3">
        <f>Table4[[#This Row],[New_Followers]]-Table4[[#This Row],[Unfollows]]</f>
        <v>333</v>
      </c>
      <c r="F57" s="3">
        <v>370971</v>
      </c>
      <c r="G57" s="3">
        <v>3.86</v>
      </c>
      <c r="H57" s="4">
        <v>12646</v>
      </c>
    </row>
    <row r="58" spans="1:8" ht="15" thickBot="1" x14ac:dyDescent="0.35">
      <c r="A58" s="1">
        <v>45544</v>
      </c>
      <c r="B58" s="2" t="s">
        <v>7</v>
      </c>
      <c r="C58" s="3">
        <v>1592</v>
      </c>
      <c r="D58" s="3">
        <v>20</v>
      </c>
      <c r="E58" s="3">
        <f>Table4[[#This Row],[New_Followers]]-Table4[[#This Row],[Unfollows]]</f>
        <v>1572</v>
      </c>
      <c r="F58" s="3">
        <v>378054</v>
      </c>
      <c r="G58" s="3">
        <v>9.09</v>
      </c>
      <c r="H58" s="4">
        <v>26663</v>
      </c>
    </row>
    <row r="59" spans="1:8" ht="15" thickBot="1" x14ac:dyDescent="0.35">
      <c r="A59" s="1">
        <v>45544</v>
      </c>
      <c r="B59" s="2" t="s">
        <v>8</v>
      </c>
      <c r="C59" s="3">
        <v>1842</v>
      </c>
      <c r="D59" s="3">
        <v>414</v>
      </c>
      <c r="E59" s="3">
        <f>Table4[[#This Row],[New_Followers]]-Table4[[#This Row],[Unfollows]]</f>
        <v>1428</v>
      </c>
      <c r="F59" s="3">
        <v>307524</v>
      </c>
      <c r="G59" s="3">
        <v>1.76</v>
      </c>
      <c r="H59" s="4">
        <v>40478</v>
      </c>
    </row>
    <row r="60" spans="1:8" ht="15" thickBot="1" x14ac:dyDescent="0.35">
      <c r="A60" s="1">
        <v>45544</v>
      </c>
      <c r="B60" s="2" t="s">
        <v>9</v>
      </c>
      <c r="C60" s="3">
        <v>751</v>
      </c>
      <c r="D60" s="3">
        <v>491</v>
      </c>
      <c r="E60" s="3">
        <f>Table4[[#This Row],[New_Followers]]-Table4[[#This Row],[Unfollows]]</f>
        <v>260</v>
      </c>
      <c r="F60" s="3">
        <v>434047</v>
      </c>
      <c r="G60" s="3">
        <v>9.24</v>
      </c>
      <c r="H60" s="4">
        <v>15476</v>
      </c>
    </row>
    <row r="61" spans="1:8" ht="15" thickBot="1" x14ac:dyDescent="0.35">
      <c r="A61" s="1">
        <v>45544</v>
      </c>
      <c r="B61" s="2" t="s">
        <v>10</v>
      </c>
      <c r="C61" s="3">
        <v>1409</v>
      </c>
      <c r="D61" s="3">
        <v>309</v>
      </c>
      <c r="E61" s="3">
        <f>Table4[[#This Row],[New_Followers]]-Table4[[#This Row],[Unfollows]]</f>
        <v>1100</v>
      </c>
      <c r="F61" s="3">
        <v>64583</v>
      </c>
      <c r="G61" s="3">
        <v>8.99</v>
      </c>
      <c r="H61" s="4">
        <v>10217</v>
      </c>
    </row>
    <row r="62" spans="1:8" ht="15" thickBot="1" x14ac:dyDescent="0.35">
      <c r="A62" s="5" t="s">
        <v>18</v>
      </c>
      <c r="B62" s="2" t="s">
        <v>7</v>
      </c>
      <c r="C62" s="3">
        <v>778</v>
      </c>
      <c r="D62" s="3">
        <v>401</v>
      </c>
      <c r="E62" s="3">
        <f>Table4[[#This Row],[New_Followers]]-Table4[[#This Row],[Unfollows]]</f>
        <v>377</v>
      </c>
      <c r="F62" s="3">
        <v>50793</v>
      </c>
      <c r="G62" s="3">
        <v>3.4</v>
      </c>
      <c r="H62" s="4">
        <v>21939</v>
      </c>
    </row>
    <row r="63" spans="1:8" ht="15" thickBot="1" x14ac:dyDescent="0.35">
      <c r="A63" s="5" t="s">
        <v>18</v>
      </c>
      <c r="B63" s="2" t="s">
        <v>8</v>
      </c>
      <c r="C63" s="3">
        <v>443</v>
      </c>
      <c r="D63" s="3">
        <v>345</v>
      </c>
      <c r="E63" s="3">
        <f>Table4[[#This Row],[New_Followers]]-Table4[[#This Row],[Unfollows]]</f>
        <v>98</v>
      </c>
      <c r="F63" s="3">
        <v>474162</v>
      </c>
      <c r="G63" s="3">
        <v>9.1999999999999993</v>
      </c>
      <c r="H63" s="4">
        <v>47462</v>
      </c>
    </row>
    <row r="64" spans="1:8" ht="15" thickBot="1" x14ac:dyDescent="0.35">
      <c r="A64" s="5" t="s">
        <v>18</v>
      </c>
      <c r="B64" s="2" t="s">
        <v>9</v>
      </c>
      <c r="C64" s="3">
        <v>1472</v>
      </c>
      <c r="D64" s="3">
        <v>347</v>
      </c>
      <c r="E64" s="3">
        <f>Table4[[#This Row],[New_Followers]]-Table4[[#This Row],[Unfollows]]</f>
        <v>1125</v>
      </c>
      <c r="F64" s="3">
        <v>392355</v>
      </c>
      <c r="G64" s="3">
        <v>8.59</v>
      </c>
      <c r="H64" s="4">
        <v>30270</v>
      </c>
    </row>
    <row r="65" spans="1:8" ht="15" thickBot="1" x14ac:dyDescent="0.35">
      <c r="A65" s="5" t="s">
        <v>18</v>
      </c>
      <c r="B65" s="2" t="s">
        <v>10</v>
      </c>
      <c r="C65" s="3">
        <v>123</v>
      </c>
      <c r="D65" s="3">
        <v>155</v>
      </c>
      <c r="E65" s="3">
        <f>Table4[[#This Row],[New_Followers]]-Table4[[#This Row],[Unfollows]]</f>
        <v>-32</v>
      </c>
      <c r="F65" s="3">
        <v>119934</v>
      </c>
      <c r="G65" s="3">
        <v>3.5</v>
      </c>
      <c r="H65" s="4">
        <v>5442</v>
      </c>
    </row>
    <row r="66" spans="1:8" ht="15" thickBot="1" x14ac:dyDescent="0.35">
      <c r="A66" s="5" t="s">
        <v>19</v>
      </c>
      <c r="B66" s="2" t="s">
        <v>7</v>
      </c>
      <c r="C66" s="3">
        <v>817</v>
      </c>
      <c r="D66" s="3">
        <v>151</v>
      </c>
      <c r="E66" s="3">
        <f>Table4[[#This Row],[New_Followers]]-Table4[[#This Row],[Unfollows]]</f>
        <v>666</v>
      </c>
      <c r="F66" s="3">
        <v>422625</v>
      </c>
      <c r="G66" s="3">
        <v>2.36</v>
      </c>
      <c r="H66" s="4">
        <v>1083</v>
      </c>
    </row>
    <row r="67" spans="1:8" ht="15" thickBot="1" x14ac:dyDescent="0.35">
      <c r="A67" s="5" t="s">
        <v>19</v>
      </c>
      <c r="B67" s="2" t="s">
        <v>8</v>
      </c>
      <c r="C67" s="3">
        <v>198</v>
      </c>
      <c r="D67" s="3">
        <v>217</v>
      </c>
      <c r="E67" s="3">
        <f>Table4[[#This Row],[New_Followers]]-Table4[[#This Row],[Unfollows]]</f>
        <v>-19</v>
      </c>
      <c r="F67" s="3">
        <v>239753</v>
      </c>
      <c r="G67" s="3">
        <v>7.36</v>
      </c>
      <c r="H67" s="4">
        <v>11901</v>
      </c>
    </row>
    <row r="68" spans="1:8" ht="15" thickBot="1" x14ac:dyDescent="0.35">
      <c r="A68" s="5" t="s">
        <v>19</v>
      </c>
      <c r="B68" s="2" t="s">
        <v>9</v>
      </c>
      <c r="C68" s="3">
        <v>1911</v>
      </c>
      <c r="D68" s="3">
        <v>231</v>
      </c>
      <c r="E68" s="3">
        <f>Table4[[#This Row],[New_Followers]]-Table4[[#This Row],[Unfollows]]</f>
        <v>1680</v>
      </c>
      <c r="F68" s="3">
        <v>268516</v>
      </c>
      <c r="G68" s="3">
        <v>8.5500000000000007</v>
      </c>
      <c r="H68" s="4">
        <v>24018</v>
      </c>
    </row>
    <row r="69" spans="1:8" ht="15" thickBot="1" x14ac:dyDescent="0.35">
      <c r="A69" s="5" t="s">
        <v>19</v>
      </c>
      <c r="B69" s="2" t="s">
        <v>10</v>
      </c>
      <c r="C69" s="3">
        <v>1218</v>
      </c>
      <c r="D69" s="3">
        <v>212</v>
      </c>
      <c r="E69" s="3">
        <f>Table4[[#This Row],[New_Followers]]-Table4[[#This Row],[Unfollows]]</f>
        <v>1006</v>
      </c>
      <c r="F69" s="3">
        <v>63177</v>
      </c>
      <c r="G69" s="3">
        <v>8.1300000000000008</v>
      </c>
      <c r="H69" s="4">
        <v>38883</v>
      </c>
    </row>
    <row r="70" spans="1:8" ht="15" thickBot="1" x14ac:dyDescent="0.35">
      <c r="A70" s="5" t="s">
        <v>20</v>
      </c>
      <c r="B70" s="2" t="s">
        <v>7</v>
      </c>
      <c r="C70" s="3">
        <v>1433</v>
      </c>
      <c r="D70" s="3">
        <v>408</v>
      </c>
      <c r="E70" s="3">
        <f>Table4[[#This Row],[New_Followers]]-Table4[[#This Row],[Unfollows]]</f>
        <v>1025</v>
      </c>
      <c r="F70" s="3">
        <v>370269</v>
      </c>
      <c r="G70" s="3">
        <v>3.3</v>
      </c>
      <c r="H70" s="4">
        <v>30575</v>
      </c>
    </row>
    <row r="71" spans="1:8" ht="15" thickBot="1" x14ac:dyDescent="0.35">
      <c r="A71" s="5" t="s">
        <v>20</v>
      </c>
      <c r="B71" s="2" t="s">
        <v>8</v>
      </c>
      <c r="C71" s="3">
        <v>250</v>
      </c>
      <c r="D71" s="3">
        <v>429</v>
      </c>
      <c r="E71" s="3">
        <f>Table4[[#This Row],[New_Followers]]-Table4[[#This Row],[Unfollows]]</f>
        <v>-179</v>
      </c>
      <c r="F71" s="3">
        <v>453423</v>
      </c>
      <c r="G71" s="3">
        <v>1.77</v>
      </c>
      <c r="H71" s="4">
        <v>2315</v>
      </c>
    </row>
    <row r="72" spans="1:8" ht="15" thickBot="1" x14ac:dyDescent="0.35">
      <c r="A72" s="5" t="s">
        <v>20</v>
      </c>
      <c r="B72" s="2" t="s">
        <v>9</v>
      </c>
      <c r="C72" s="3">
        <v>752</v>
      </c>
      <c r="D72" s="3">
        <v>153</v>
      </c>
      <c r="E72" s="3">
        <f>Table4[[#This Row],[New_Followers]]-Table4[[#This Row],[Unfollows]]</f>
        <v>599</v>
      </c>
      <c r="F72" s="3">
        <v>64906</v>
      </c>
      <c r="G72" s="3">
        <v>2.09</v>
      </c>
      <c r="H72" s="4">
        <v>12148</v>
      </c>
    </row>
    <row r="73" spans="1:8" ht="15" thickBot="1" x14ac:dyDescent="0.35">
      <c r="A73" s="5" t="s">
        <v>20</v>
      </c>
      <c r="B73" s="2" t="s">
        <v>10</v>
      </c>
      <c r="C73" s="3">
        <v>1918</v>
      </c>
      <c r="D73" s="3">
        <v>212</v>
      </c>
      <c r="E73" s="3">
        <f>Table4[[#This Row],[New_Followers]]-Table4[[#This Row],[Unfollows]]</f>
        <v>1706</v>
      </c>
      <c r="F73" s="3">
        <v>94360</v>
      </c>
      <c r="G73" s="3">
        <v>7.36</v>
      </c>
      <c r="H73" s="4">
        <v>36851</v>
      </c>
    </row>
    <row r="74" spans="1:8" ht="15" thickBot="1" x14ac:dyDescent="0.35">
      <c r="A74" s="1">
        <v>45483</v>
      </c>
      <c r="B74" s="2" t="s">
        <v>7</v>
      </c>
      <c r="C74" s="3">
        <v>1939</v>
      </c>
      <c r="D74" s="3">
        <v>67</v>
      </c>
      <c r="E74" s="3">
        <f>Table4[[#This Row],[New_Followers]]-Table4[[#This Row],[Unfollows]]</f>
        <v>1872</v>
      </c>
      <c r="F74" s="3">
        <v>187183</v>
      </c>
      <c r="G74" s="3">
        <v>6.25</v>
      </c>
      <c r="H74" s="4">
        <v>41215</v>
      </c>
    </row>
    <row r="75" spans="1:8" ht="15" thickBot="1" x14ac:dyDescent="0.35">
      <c r="A75" s="1">
        <v>45483</v>
      </c>
      <c r="B75" s="2" t="s">
        <v>8</v>
      </c>
      <c r="C75" s="3">
        <v>1929</v>
      </c>
      <c r="D75" s="3">
        <v>267</v>
      </c>
      <c r="E75" s="3">
        <f>Table4[[#This Row],[New_Followers]]-Table4[[#This Row],[Unfollows]]</f>
        <v>1662</v>
      </c>
      <c r="F75" s="3">
        <v>379363</v>
      </c>
      <c r="G75" s="3">
        <v>1.75</v>
      </c>
      <c r="H75" s="4">
        <v>43836</v>
      </c>
    </row>
    <row r="76" spans="1:8" ht="15" thickBot="1" x14ac:dyDescent="0.35">
      <c r="A76" s="1">
        <v>45483</v>
      </c>
      <c r="B76" s="2" t="s">
        <v>9</v>
      </c>
      <c r="C76" s="3">
        <v>437</v>
      </c>
      <c r="D76" s="3">
        <v>330</v>
      </c>
      <c r="E76" s="3">
        <f>Table4[[#This Row],[New_Followers]]-Table4[[#This Row],[Unfollows]]</f>
        <v>107</v>
      </c>
      <c r="F76" s="3">
        <v>476486</v>
      </c>
      <c r="G76" s="3">
        <v>4.97</v>
      </c>
      <c r="H76" s="4">
        <v>4509</v>
      </c>
    </row>
    <row r="77" spans="1:8" ht="15" thickBot="1" x14ac:dyDescent="0.35">
      <c r="A77" s="1">
        <v>45483</v>
      </c>
      <c r="B77" s="2" t="s">
        <v>10</v>
      </c>
      <c r="C77" s="3">
        <v>307</v>
      </c>
      <c r="D77" s="3">
        <v>189</v>
      </c>
      <c r="E77" s="3">
        <f>Table4[[#This Row],[New_Followers]]-Table4[[#This Row],[Unfollows]]</f>
        <v>118</v>
      </c>
      <c r="F77" s="3">
        <v>117767</v>
      </c>
      <c r="G77" s="3">
        <v>9.3000000000000007</v>
      </c>
      <c r="H77" s="4">
        <v>27822</v>
      </c>
    </row>
    <row r="78" spans="1:8" ht="15" thickBot="1" x14ac:dyDescent="0.35">
      <c r="A78" s="5" t="s">
        <v>21</v>
      </c>
      <c r="B78" s="2" t="s">
        <v>7</v>
      </c>
      <c r="C78" s="3">
        <v>1527</v>
      </c>
      <c r="D78" s="3">
        <v>303</v>
      </c>
      <c r="E78" s="3">
        <f>Table4[[#This Row],[New_Followers]]-Table4[[#This Row],[Unfollows]]</f>
        <v>1224</v>
      </c>
      <c r="F78" s="3">
        <v>388555</v>
      </c>
      <c r="G78" s="3">
        <v>8.9</v>
      </c>
      <c r="H78" s="4">
        <v>36397</v>
      </c>
    </row>
    <row r="79" spans="1:8" ht="15" thickBot="1" x14ac:dyDescent="0.35">
      <c r="A79" s="5" t="s">
        <v>21</v>
      </c>
      <c r="B79" s="2" t="s">
        <v>8</v>
      </c>
      <c r="C79" s="3">
        <v>643</v>
      </c>
      <c r="D79" s="3">
        <v>358</v>
      </c>
      <c r="E79" s="3">
        <f>Table4[[#This Row],[New_Followers]]-Table4[[#This Row],[Unfollows]]</f>
        <v>285</v>
      </c>
      <c r="F79" s="3">
        <v>157599</v>
      </c>
      <c r="G79" s="3">
        <v>3.88</v>
      </c>
      <c r="H79" s="4">
        <v>7285</v>
      </c>
    </row>
    <row r="80" spans="1:8" ht="15" thickBot="1" x14ac:dyDescent="0.35">
      <c r="A80" s="5" t="s">
        <v>21</v>
      </c>
      <c r="B80" s="2" t="s">
        <v>9</v>
      </c>
      <c r="C80" s="3">
        <v>201</v>
      </c>
      <c r="D80" s="3">
        <v>221</v>
      </c>
      <c r="E80" s="3">
        <f>Table4[[#This Row],[New_Followers]]-Table4[[#This Row],[Unfollows]]</f>
        <v>-20</v>
      </c>
      <c r="F80" s="3">
        <v>309772</v>
      </c>
      <c r="G80" s="3">
        <v>5.9</v>
      </c>
      <c r="H80" s="4">
        <v>33174</v>
      </c>
    </row>
    <row r="81" spans="1:8" ht="15" thickBot="1" x14ac:dyDescent="0.35">
      <c r="A81" s="5" t="s">
        <v>21</v>
      </c>
      <c r="B81" s="2" t="s">
        <v>10</v>
      </c>
      <c r="C81" s="3">
        <v>414</v>
      </c>
      <c r="D81" s="3">
        <v>47</v>
      </c>
      <c r="E81" s="3">
        <f>Table4[[#This Row],[New_Followers]]-Table4[[#This Row],[Unfollows]]</f>
        <v>367</v>
      </c>
      <c r="F81" s="3">
        <v>199178</v>
      </c>
      <c r="G81" s="3">
        <v>1.53</v>
      </c>
      <c r="H81" s="4">
        <v>6742</v>
      </c>
    </row>
    <row r="82" spans="1:8" ht="15" thickBot="1" x14ac:dyDescent="0.35">
      <c r="A82" s="5" t="s">
        <v>22</v>
      </c>
      <c r="B82" s="2" t="s">
        <v>7</v>
      </c>
      <c r="C82" s="3">
        <v>703</v>
      </c>
      <c r="D82" s="3">
        <v>441</v>
      </c>
      <c r="E82" s="3">
        <f>Table4[[#This Row],[New_Followers]]-Table4[[#This Row],[Unfollows]]</f>
        <v>262</v>
      </c>
      <c r="F82" s="3">
        <v>357089</v>
      </c>
      <c r="G82" s="3">
        <v>6.5</v>
      </c>
      <c r="H82" s="4">
        <v>32478</v>
      </c>
    </row>
    <row r="83" spans="1:8" ht="15" thickBot="1" x14ac:dyDescent="0.35">
      <c r="A83" s="5" t="s">
        <v>22</v>
      </c>
      <c r="B83" s="2" t="s">
        <v>8</v>
      </c>
      <c r="C83" s="3">
        <v>508</v>
      </c>
      <c r="D83" s="3">
        <v>69</v>
      </c>
      <c r="E83" s="3">
        <f>Table4[[#This Row],[New_Followers]]-Table4[[#This Row],[Unfollows]]</f>
        <v>439</v>
      </c>
      <c r="F83" s="3">
        <v>23492</v>
      </c>
      <c r="G83" s="3">
        <v>3.16</v>
      </c>
      <c r="H83" s="4">
        <v>42824</v>
      </c>
    </row>
    <row r="84" spans="1:8" ht="15" thickBot="1" x14ac:dyDescent="0.35">
      <c r="A84" s="5" t="s">
        <v>22</v>
      </c>
      <c r="B84" s="2" t="s">
        <v>9</v>
      </c>
      <c r="C84" s="3">
        <v>697</v>
      </c>
      <c r="D84" s="3">
        <v>61</v>
      </c>
      <c r="E84" s="3">
        <f>Table4[[#This Row],[New_Followers]]-Table4[[#This Row],[Unfollows]]</f>
        <v>636</v>
      </c>
      <c r="F84" s="3">
        <v>258287</v>
      </c>
      <c r="G84" s="3">
        <v>8.25</v>
      </c>
      <c r="H84" s="4">
        <v>21208</v>
      </c>
    </row>
    <row r="85" spans="1:8" ht="15" thickBot="1" x14ac:dyDescent="0.35">
      <c r="A85" s="5" t="s">
        <v>22</v>
      </c>
      <c r="B85" s="2" t="s">
        <v>10</v>
      </c>
      <c r="C85" s="3">
        <v>1707</v>
      </c>
      <c r="D85" s="3">
        <v>223</v>
      </c>
      <c r="E85" s="3">
        <f>Table4[[#This Row],[New_Followers]]-Table4[[#This Row],[Unfollows]]</f>
        <v>1484</v>
      </c>
      <c r="F85" s="3">
        <v>256910</v>
      </c>
      <c r="G85" s="3">
        <v>5.41</v>
      </c>
      <c r="H85" s="4">
        <v>44321</v>
      </c>
    </row>
    <row r="86" spans="1:8" ht="15" thickBot="1" x14ac:dyDescent="0.35">
      <c r="A86" s="5" t="s">
        <v>23</v>
      </c>
      <c r="B86" s="2" t="s">
        <v>7</v>
      </c>
      <c r="C86" s="3">
        <v>642</v>
      </c>
      <c r="D86" s="3">
        <v>66</v>
      </c>
      <c r="E86" s="3">
        <f>Table4[[#This Row],[New_Followers]]-Table4[[#This Row],[Unfollows]]</f>
        <v>576</v>
      </c>
      <c r="F86" s="3">
        <v>346522</v>
      </c>
      <c r="G86" s="3">
        <v>5.85</v>
      </c>
      <c r="H86" s="4">
        <v>13116</v>
      </c>
    </row>
    <row r="87" spans="1:8" ht="15" thickBot="1" x14ac:dyDescent="0.35">
      <c r="A87" s="5" t="s">
        <v>23</v>
      </c>
      <c r="B87" s="2" t="s">
        <v>8</v>
      </c>
      <c r="C87" s="3">
        <v>859</v>
      </c>
      <c r="D87" s="3">
        <v>473</v>
      </c>
      <c r="E87" s="3">
        <f>Table4[[#This Row],[New_Followers]]-Table4[[#This Row],[Unfollows]]</f>
        <v>386</v>
      </c>
      <c r="F87" s="3">
        <v>209987</v>
      </c>
      <c r="G87" s="3">
        <v>4.46</v>
      </c>
      <c r="H87" s="4">
        <v>30214</v>
      </c>
    </row>
    <row r="88" spans="1:8" ht="15" thickBot="1" x14ac:dyDescent="0.35">
      <c r="A88" s="5" t="s">
        <v>23</v>
      </c>
      <c r="B88" s="2" t="s">
        <v>9</v>
      </c>
      <c r="C88" s="3">
        <v>191</v>
      </c>
      <c r="D88" s="3">
        <v>154</v>
      </c>
      <c r="E88" s="3">
        <f>Table4[[#This Row],[New_Followers]]-Table4[[#This Row],[Unfollows]]</f>
        <v>37</v>
      </c>
      <c r="F88" s="3">
        <v>240550</v>
      </c>
      <c r="G88" s="3">
        <v>5.22</v>
      </c>
      <c r="H88" s="4">
        <v>15827</v>
      </c>
    </row>
    <row r="89" spans="1:8" ht="15" thickBot="1" x14ac:dyDescent="0.35">
      <c r="A89" s="5" t="s">
        <v>23</v>
      </c>
      <c r="B89" s="2" t="s">
        <v>10</v>
      </c>
      <c r="C89" s="3">
        <v>1814</v>
      </c>
      <c r="D89" s="3">
        <v>157</v>
      </c>
      <c r="E89" s="3">
        <f>Table4[[#This Row],[New_Followers]]-Table4[[#This Row],[Unfollows]]</f>
        <v>1657</v>
      </c>
      <c r="F89" s="3">
        <v>305827</v>
      </c>
      <c r="G89" s="3">
        <v>1.99</v>
      </c>
      <c r="H89" s="4">
        <v>46643</v>
      </c>
    </row>
    <row r="90" spans="1:8" ht="15" thickBot="1" x14ac:dyDescent="0.35">
      <c r="A90" s="1">
        <v>45393</v>
      </c>
      <c r="B90" s="2" t="s">
        <v>7</v>
      </c>
      <c r="C90" s="3">
        <v>1466</v>
      </c>
      <c r="D90" s="3">
        <v>69</v>
      </c>
      <c r="E90" s="3">
        <f>Table4[[#This Row],[New_Followers]]-Table4[[#This Row],[Unfollows]]</f>
        <v>1397</v>
      </c>
      <c r="F90" s="3">
        <v>54935</v>
      </c>
      <c r="G90" s="3">
        <v>6.85</v>
      </c>
      <c r="H90" s="4">
        <v>36484</v>
      </c>
    </row>
    <row r="91" spans="1:8" ht="15" thickBot="1" x14ac:dyDescent="0.35">
      <c r="A91" s="1">
        <v>45393</v>
      </c>
      <c r="B91" s="2" t="s">
        <v>8</v>
      </c>
      <c r="C91" s="3">
        <v>947</v>
      </c>
      <c r="D91" s="3">
        <v>407</v>
      </c>
      <c r="E91" s="3">
        <f>Table4[[#This Row],[New_Followers]]-Table4[[#This Row],[Unfollows]]</f>
        <v>540</v>
      </c>
      <c r="F91" s="3">
        <v>319186</v>
      </c>
      <c r="G91" s="3">
        <v>3.32</v>
      </c>
      <c r="H91" s="4">
        <v>4996</v>
      </c>
    </row>
    <row r="92" spans="1:8" ht="15" thickBot="1" x14ac:dyDescent="0.35">
      <c r="A92" s="1">
        <v>45393</v>
      </c>
      <c r="B92" s="2" t="s">
        <v>9</v>
      </c>
      <c r="C92" s="3">
        <v>1821</v>
      </c>
      <c r="D92" s="3">
        <v>218</v>
      </c>
      <c r="E92" s="3">
        <f>Table4[[#This Row],[New_Followers]]-Table4[[#This Row],[Unfollows]]</f>
        <v>1603</v>
      </c>
      <c r="F92" s="3">
        <v>439080</v>
      </c>
      <c r="G92" s="3">
        <v>5.68</v>
      </c>
      <c r="H92" s="4">
        <v>36095</v>
      </c>
    </row>
    <row r="93" spans="1:8" ht="15" thickBot="1" x14ac:dyDescent="0.35">
      <c r="A93" s="1">
        <v>45393</v>
      </c>
      <c r="B93" s="2" t="s">
        <v>10</v>
      </c>
      <c r="C93" s="3">
        <v>1507</v>
      </c>
      <c r="D93" s="3">
        <v>463</v>
      </c>
      <c r="E93" s="3">
        <f>Table4[[#This Row],[New_Followers]]-Table4[[#This Row],[Unfollows]]</f>
        <v>1044</v>
      </c>
      <c r="F93" s="3">
        <v>258944</v>
      </c>
      <c r="G93" s="3">
        <v>6.08</v>
      </c>
      <c r="H93" s="4">
        <v>16443</v>
      </c>
    </row>
    <row r="94" spans="1:8" ht="15" thickBot="1" x14ac:dyDescent="0.35">
      <c r="A94" s="1">
        <v>45607</v>
      </c>
      <c r="B94" s="2" t="s">
        <v>7</v>
      </c>
      <c r="C94" s="3">
        <v>1075</v>
      </c>
      <c r="D94" s="3">
        <v>173</v>
      </c>
      <c r="E94" s="3">
        <f>Table4[[#This Row],[New_Followers]]-Table4[[#This Row],[Unfollows]]</f>
        <v>902</v>
      </c>
      <c r="F94" s="3">
        <v>51395</v>
      </c>
      <c r="G94" s="3">
        <v>4.66</v>
      </c>
      <c r="H94" s="4">
        <v>47812</v>
      </c>
    </row>
    <row r="95" spans="1:8" ht="15" thickBot="1" x14ac:dyDescent="0.35">
      <c r="A95" s="1">
        <v>45607</v>
      </c>
      <c r="B95" s="2" t="s">
        <v>8</v>
      </c>
      <c r="C95" s="3">
        <v>171</v>
      </c>
      <c r="D95" s="3">
        <v>277</v>
      </c>
      <c r="E95" s="3">
        <f>Table4[[#This Row],[New_Followers]]-Table4[[#This Row],[Unfollows]]</f>
        <v>-106</v>
      </c>
      <c r="F95" s="3">
        <v>309483</v>
      </c>
      <c r="G95" s="3">
        <v>8.6999999999999993</v>
      </c>
      <c r="H95" s="4">
        <v>38452</v>
      </c>
    </row>
    <row r="96" spans="1:8" ht="15" thickBot="1" x14ac:dyDescent="0.35">
      <c r="A96" s="1">
        <v>45607</v>
      </c>
      <c r="B96" s="2" t="s">
        <v>9</v>
      </c>
      <c r="C96" s="3">
        <v>1487</v>
      </c>
      <c r="D96" s="3">
        <v>337</v>
      </c>
      <c r="E96" s="3">
        <f>Table4[[#This Row],[New_Followers]]-Table4[[#This Row],[Unfollows]]</f>
        <v>1150</v>
      </c>
      <c r="F96" s="3">
        <v>87305</v>
      </c>
      <c r="G96" s="3">
        <v>2.46</v>
      </c>
      <c r="H96" s="4">
        <v>30428</v>
      </c>
    </row>
    <row r="97" spans="1:8" ht="15" thickBot="1" x14ac:dyDescent="0.35">
      <c r="A97" s="1">
        <v>45607</v>
      </c>
      <c r="B97" s="2" t="s">
        <v>10</v>
      </c>
      <c r="C97" s="3">
        <v>454</v>
      </c>
      <c r="D97" s="3">
        <v>105</v>
      </c>
      <c r="E97" s="3">
        <f>Table4[[#This Row],[New_Followers]]-Table4[[#This Row],[Unfollows]]</f>
        <v>349</v>
      </c>
      <c r="F97" s="3">
        <v>121091</v>
      </c>
      <c r="G97" s="3">
        <v>7.97</v>
      </c>
      <c r="H97" s="4">
        <v>9269</v>
      </c>
    </row>
    <row r="98" spans="1:8" ht="15" thickBot="1" x14ac:dyDescent="0.35">
      <c r="A98" s="5" t="s">
        <v>24</v>
      </c>
      <c r="B98" s="2" t="s">
        <v>7</v>
      </c>
      <c r="C98" s="3">
        <v>187</v>
      </c>
      <c r="D98" s="3">
        <v>236</v>
      </c>
      <c r="E98" s="3">
        <f>Table4[[#This Row],[New_Followers]]-Table4[[#This Row],[Unfollows]]</f>
        <v>-49</v>
      </c>
      <c r="F98" s="3">
        <v>51087</v>
      </c>
      <c r="G98" s="3">
        <v>9.41</v>
      </c>
      <c r="H98" s="4">
        <v>29533</v>
      </c>
    </row>
    <row r="99" spans="1:8" ht="15" thickBot="1" x14ac:dyDescent="0.35">
      <c r="A99" s="5" t="s">
        <v>24</v>
      </c>
      <c r="B99" s="2" t="s">
        <v>8</v>
      </c>
      <c r="C99" s="3">
        <v>513</v>
      </c>
      <c r="D99" s="3">
        <v>441</v>
      </c>
      <c r="E99" s="3">
        <f>Table4[[#This Row],[New_Followers]]-Table4[[#This Row],[Unfollows]]</f>
        <v>72</v>
      </c>
      <c r="F99" s="3">
        <v>338847</v>
      </c>
      <c r="G99" s="3">
        <v>2.68</v>
      </c>
      <c r="H99" s="4">
        <v>39997</v>
      </c>
    </row>
    <row r="100" spans="1:8" ht="15" thickBot="1" x14ac:dyDescent="0.35">
      <c r="A100" s="5" t="s">
        <v>24</v>
      </c>
      <c r="B100" s="2" t="s">
        <v>9</v>
      </c>
      <c r="C100" s="3">
        <v>628</v>
      </c>
      <c r="D100" s="3">
        <v>183</v>
      </c>
      <c r="E100" s="3">
        <f>Table4[[#This Row],[New_Followers]]-Table4[[#This Row],[Unfollows]]</f>
        <v>445</v>
      </c>
      <c r="F100" s="3">
        <v>487523</v>
      </c>
      <c r="G100" s="3">
        <v>7.32</v>
      </c>
      <c r="H100" s="4">
        <v>5391</v>
      </c>
    </row>
    <row r="101" spans="1:8" ht="15" thickBot="1" x14ac:dyDescent="0.35">
      <c r="A101" s="5" t="s">
        <v>24</v>
      </c>
      <c r="B101" s="2" t="s">
        <v>10</v>
      </c>
      <c r="C101" s="3">
        <v>278</v>
      </c>
      <c r="D101" s="3">
        <v>218</v>
      </c>
      <c r="E101" s="3">
        <f>Table4[[#This Row],[New_Followers]]-Table4[[#This Row],[Unfollows]]</f>
        <v>60</v>
      </c>
      <c r="F101" s="3">
        <v>301695</v>
      </c>
      <c r="G101" s="3">
        <v>4.68</v>
      </c>
      <c r="H101" s="4">
        <v>22373</v>
      </c>
    </row>
    <row r="102" spans="1:8" ht="15" thickBot="1" x14ac:dyDescent="0.35">
      <c r="A102" s="5" t="s">
        <v>25</v>
      </c>
      <c r="B102" s="2" t="s">
        <v>7</v>
      </c>
      <c r="C102" s="3">
        <v>1854</v>
      </c>
      <c r="D102" s="3">
        <v>161</v>
      </c>
      <c r="E102" s="3">
        <f>Table4[[#This Row],[New_Followers]]-Table4[[#This Row],[Unfollows]]</f>
        <v>1693</v>
      </c>
      <c r="F102" s="3">
        <v>282466</v>
      </c>
      <c r="G102" s="3">
        <v>5.17</v>
      </c>
      <c r="H102" s="4">
        <v>1810</v>
      </c>
    </row>
    <row r="103" spans="1:8" ht="15" thickBot="1" x14ac:dyDescent="0.35">
      <c r="A103" s="5" t="s">
        <v>25</v>
      </c>
      <c r="B103" s="2" t="s">
        <v>8</v>
      </c>
      <c r="C103" s="3">
        <v>1710</v>
      </c>
      <c r="D103" s="3">
        <v>378</v>
      </c>
      <c r="E103" s="3">
        <f>Table4[[#This Row],[New_Followers]]-Table4[[#This Row],[Unfollows]]</f>
        <v>1332</v>
      </c>
      <c r="F103" s="3">
        <v>336661</v>
      </c>
      <c r="G103" s="3">
        <v>6.2</v>
      </c>
      <c r="H103" s="4">
        <v>28498</v>
      </c>
    </row>
    <row r="104" spans="1:8" ht="15" thickBot="1" x14ac:dyDescent="0.35">
      <c r="A104" s="5" t="s">
        <v>25</v>
      </c>
      <c r="B104" s="2" t="s">
        <v>9</v>
      </c>
      <c r="C104" s="3">
        <v>330</v>
      </c>
      <c r="D104" s="3">
        <v>232</v>
      </c>
      <c r="E104" s="3">
        <f>Table4[[#This Row],[New_Followers]]-Table4[[#This Row],[Unfollows]]</f>
        <v>98</v>
      </c>
      <c r="F104" s="3">
        <v>88455</v>
      </c>
      <c r="G104" s="3">
        <v>2.69</v>
      </c>
      <c r="H104" s="4">
        <v>39530</v>
      </c>
    </row>
    <row r="105" spans="1:8" ht="15" thickBot="1" x14ac:dyDescent="0.35">
      <c r="A105" s="5" t="s">
        <v>25</v>
      </c>
      <c r="B105" s="2" t="s">
        <v>10</v>
      </c>
      <c r="C105" s="3">
        <v>1293</v>
      </c>
      <c r="D105" s="3">
        <v>408</v>
      </c>
      <c r="E105" s="3">
        <f>Table4[[#This Row],[New_Followers]]-Table4[[#This Row],[Unfollows]]</f>
        <v>885</v>
      </c>
      <c r="F105" s="3">
        <v>62535</v>
      </c>
      <c r="G105" s="3">
        <v>8.9</v>
      </c>
      <c r="H105" s="4">
        <v>37876</v>
      </c>
    </row>
    <row r="106" spans="1:8" ht="15" thickBot="1" x14ac:dyDescent="0.35">
      <c r="A106" s="1">
        <v>45334</v>
      </c>
      <c r="B106" s="2" t="s">
        <v>7</v>
      </c>
      <c r="C106" s="3">
        <v>1696</v>
      </c>
      <c r="D106" s="3">
        <v>71</v>
      </c>
      <c r="E106" s="3">
        <f>Table4[[#This Row],[New_Followers]]-Table4[[#This Row],[Unfollows]]</f>
        <v>1625</v>
      </c>
      <c r="F106" s="3">
        <v>421957</v>
      </c>
      <c r="G106" s="3">
        <v>3.79</v>
      </c>
      <c r="H106" s="4">
        <v>36103</v>
      </c>
    </row>
    <row r="107" spans="1:8" ht="15" thickBot="1" x14ac:dyDescent="0.35">
      <c r="A107" s="1">
        <v>45334</v>
      </c>
      <c r="B107" s="2" t="s">
        <v>8</v>
      </c>
      <c r="C107" s="3">
        <v>1902</v>
      </c>
      <c r="D107" s="3">
        <v>196</v>
      </c>
      <c r="E107" s="3">
        <f>Table4[[#This Row],[New_Followers]]-Table4[[#This Row],[Unfollows]]</f>
        <v>1706</v>
      </c>
      <c r="F107" s="3">
        <v>470269</v>
      </c>
      <c r="G107" s="3">
        <v>4.79</v>
      </c>
      <c r="H107" s="4">
        <v>26103</v>
      </c>
    </row>
    <row r="108" spans="1:8" ht="15" thickBot="1" x14ac:dyDescent="0.35">
      <c r="A108" s="1">
        <v>45334</v>
      </c>
      <c r="B108" s="2" t="s">
        <v>9</v>
      </c>
      <c r="C108" s="3">
        <v>1441</v>
      </c>
      <c r="D108" s="3">
        <v>268</v>
      </c>
      <c r="E108" s="3">
        <f>Table4[[#This Row],[New_Followers]]-Table4[[#This Row],[Unfollows]]</f>
        <v>1173</v>
      </c>
      <c r="F108" s="3">
        <v>309904</v>
      </c>
      <c r="G108" s="3">
        <v>6.37</v>
      </c>
      <c r="H108" s="4">
        <v>3455</v>
      </c>
    </row>
    <row r="109" spans="1:8" ht="15" thickBot="1" x14ac:dyDescent="0.35">
      <c r="A109" s="1">
        <v>45334</v>
      </c>
      <c r="B109" s="2" t="s">
        <v>10</v>
      </c>
      <c r="C109" s="3">
        <v>452</v>
      </c>
      <c r="D109" s="3">
        <v>161</v>
      </c>
      <c r="E109" s="3">
        <f>Table4[[#This Row],[New_Followers]]-Table4[[#This Row],[Unfollows]]</f>
        <v>291</v>
      </c>
      <c r="F109" s="3">
        <v>221274</v>
      </c>
      <c r="G109" s="3">
        <v>2.65</v>
      </c>
      <c r="H109" s="4">
        <v>40888</v>
      </c>
    </row>
    <row r="110" spans="1:8" ht="15" thickBot="1" x14ac:dyDescent="0.35">
      <c r="A110" s="1">
        <v>45547</v>
      </c>
      <c r="B110" s="2" t="s">
        <v>7</v>
      </c>
      <c r="C110" s="3">
        <v>1494</v>
      </c>
      <c r="D110" s="3">
        <v>375</v>
      </c>
      <c r="E110" s="3">
        <f>Table4[[#This Row],[New_Followers]]-Table4[[#This Row],[Unfollows]]</f>
        <v>1119</v>
      </c>
      <c r="F110" s="3">
        <v>220616</v>
      </c>
      <c r="G110" s="3">
        <v>1.81</v>
      </c>
      <c r="H110" s="4">
        <v>22724</v>
      </c>
    </row>
    <row r="111" spans="1:8" ht="15" thickBot="1" x14ac:dyDescent="0.35">
      <c r="A111" s="1">
        <v>45547</v>
      </c>
      <c r="B111" s="2" t="s">
        <v>8</v>
      </c>
      <c r="C111" s="3">
        <v>1514</v>
      </c>
      <c r="D111" s="3">
        <v>141</v>
      </c>
      <c r="E111" s="3">
        <f>Table4[[#This Row],[New_Followers]]-Table4[[#This Row],[Unfollows]]</f>
        <v>1373</v>
      </c>
      <c r="F111" s="3">
        <v>35842</v>
      </c>
      <c r="G111" s="3">
        <v>7.47</v>
      </c>
      <c r="H111" s="4">
        <v>18601</v>
      </c>
    </row>
    <row r="112" spans="1:8" ht="15" thickBot="1" x14ac:dyDescent="0.35">
      <c r="A112" s="1">
        <v>45547</v>
      </c>
      <c r="B112" s="2" t="s">
        <v>9</v>
      </c>
      <c r="C112" s="3">
        <v>1937</v>
      </c>
      <c r="D112" s="3">
        <v>210</v>
      </c>
      <c r="E112" s="3">
        <f>Table4[[#This Row],[New_Followers]]-Table4[[#This Row],[Unfollows]]</f>
        <v>1727</v>
      </c>
      <c r="F112" s="3">
        <v>20607</v>
      </c>
      <c r="G112" s="3">
        <v>4.2</v>
      </c>
      <c r="H112" s="4">
        <v>20861</v>
      </c>
    </row>
    <row r="113" spans="1:8" ht="15" thickBot="1" x14ac:dyDescent="0.35">
      <c r="A113" s="1">
        <v>45547</v>
      </c>
      <c r="B113" s="2" t="s">
        <v>10</v>
      </c>
      <c r="C113" s="3">
        <v>736</v>
      </c>
      <c r="D113" s="3">
        <v>163</v>
      </c>
      <c r="E113" s="3">
        <f>Table4[[#This Row],[New_Followers]]-Table4[[#This Row],[Unfollows]]</f>
        <v>573</v>
      </c>
      <c r="F113" s="3">
        <v>451894</v>
      </c>
      <c r="G113" s="3">
        <v>5.43</v>
      </c>
      <c r="H113" s="4">
        <v>46625</v>
      </c>
    </row>
    <row r="114" spans="1:8" ht="15" thickBot="1" x14ac:dyDescent="0.35">
      <c r="A114" s="5" t="s">
        <v>26</v>
      </c>
      <c r="B114" s="2" t="s">
        <v>7</v>
      </c>
      <c r="C114" s="3">
        <v>1502</v>
      </c>
      <c r="D114" s="3">
        <v>70</v>
      </c>
      <c r="E114" s="3">
        <f>Table4[[#This Row],[New_Followers]]-Table4[[#This Row],[Unfollows]]</f>
        <v>1432</v>
      </c>
      <c r="F114" s="3">
        <v>465553</v>
      </c>
      <c r="G114" s="3">
        <v>3.32</v>
      </c>
      <c r="H114" s="4">
        <v>20692</v>
      </c>
    </row>
    <row r="115" spans="1:8" ht="15" thickBot="1" x14ac:dyDescent="0.35">
      <c r="A115" s="5" t="s">
        <v>26</v>
      </c>
      <c r="B115" s="2" t="s">
        <v>8</v>
      </c>
      <c r="C115" s="3">
        <v>1623</v>
      </c>
      <c r="D115" s="3">
        <v>246</v>
      </c>
      <c r="E115" s="3">
        <f>Table4[[#This Row],[New_Followers]]-Table4[[#This Row],[Unfollows]]</f>
        <v>1377</v>
      </c>
      <c r="F115" s="3">
        <v>415815</v>
      </c>
      <c r="G115" s="3">
        <v>8.11</v>
      </c>
      <c r="H115" s="4">
        <v>18656</v>
      </c>
    </row>
    <row r="116" spans="1:8" ht="15" thickBot="1" x14ac:dyDescent="0.35">
      <c r="A116" s="5" t="s">
        <v>26</v>
      </c>
      <c r="B116" s="2" t="s">
        <v>9</v>
      </c>
      <c r="C116" s="3">
        <v>1592</v>
      </c>
      <c r="D116" s="3">
        <v>233</v>
      </c>
      <c r="E116" s="3">
        <f>Table4[[#This Row],[New_Followers]]-Table4[[#This Row],[Unfollows]]</f>
        <v>1359</v>
      </c>
      <c r="F116" s="3">
        <v>327183</v>
      </c>
      <c r="G116" s="3">
        <v>6.66</v>
      </c>
      <c r="H116" s="4">
        <v>13316</v>
      </c>
    </row>
    <row r="117" spans="1:8" ht="15" thickBot="1" x14ac:dyDescent="0.35">
      <c r="A117" s="5" t="s">
        <v>26</v>
      </c>
      <c r="B117" s="2" t="s">
        <v>10</v>
      </c>
      <c r="C117" s="3">
        <v>1004</v>
      </c>
      <c r="D117" s="3">
        <v>128</v>
      </c>
      <c r="E117" s="3">
        <f>Table4[[#This Row],[New_Followers]]-Table4[[#This Row],[Unfollows]]</f>
        <v>876</v>
      </c>
      <c r="F117" s="3">
        <v>488901</v>
      </c>
      <c r="G117" s="3">
        <v>8.09</v>
      </c>
      <c r="H117" s="4">
        <v>49558</v>
      </c>
    </row>
    <row r="118" spans="1:8" ht="15" thickBot="1" x14ac:dyDescent="0.35">
      <c r="A118" s="5" t="s">
        <v>27</v>
      </c>
      <c r="B118" s="2" t="s">
        <v>7</v>
      </c>
      <c r="C118" s="3">
        <v>1092</v>
      </c>
      <c r="D118" s="3">
        <v>408</v>
      </c>
      <c r="E118" s="3">
        <f>Table4[[#This Row],[New_Followers]]-Table4[[#This Row],[Unfollows]]</f>
        <v>684</v>
      </c>
      <c r="F118" s="3">
        <v>280795</v>
      </c>
      <c r="G118" s="3">
        <v>8.44</v>
      </c>
      <c r="H118" s="4">
        <v>4683</v>
      </c>
    </row>
    <row r="119" spans="1:8" ht="15" thickBot="1" x14ac:dyDescent="0.35">
      <c r="A119" s="5" t="s">
        <v>27</v>
      </c>
      <c r="B119" s="2" t="s">
        <v>8</v>
      </c>
      <c r="C119" s="3">
        <v>1155</v>
      </c>
      <c r="D119" s="3">
        <v>425</v>
      </c>
      <c r="E119" s="3">
        <f>Table4[[#This Row],[New_Followers]]-Table4[[#This Row],[Unfollows]]</f>
        <v>730</v>
      </c>
      <c r="F119" s="3">
        <v>93347</v>
      </c>
      <c r="G119" s="3">
        <v>2.02</v>
      </c>
      <c r="H119" s="4">
        <v>47502</v>
      </c>
    </row>
    <row r="120" spans="1:8" ht="15" thickBot="1" x14ac:dyDescent="0.35">
      <c r="A120" s="5" t="s">
        <v>27</v>
      </c>
      <c r="B120" s="2" t="s">
        <v>9</v>
      </c>
      <c r="C120" s="3">
        <v>1137</v>
      </c>
      <c r="D120" s="3">
        <v>226</v>
      </c>
      <c r="E120" s="3">
        <f>Table4[[#This Row],[New_Followers]]-Table4[[#This Row],[Unfollows]]</f>
        <v>911</v>
      </c>
      <c r="F120" s="3">
        <v>81119</v>
      </c>
      <c r="G120" s="3">
        <v>7.74</v>
      </c>
      <c r="H120" s="4">
        <v>35359</v>
      </c>
    </row>
    <row r="121" spans="1:8" ht="15" thickBot="1" x14ac:dyDescent="0.35">
      <c r="A121" s="5" t="s">
        <v>27</v>
      </c>
      <c r="B121" s="2" t="s">
        <v>10</v>
      </c>
      <c r="C121" s="3">
        <v>1900</v>
      </c>
      <c r="D121" s="3">
        <v>311</v>
      </c>
      <c r="E121" s="3">
        <f>Table4[[#This Row],[New_Followers]]-Table4[[#This Row],[Unfollows]]</f>
        <v>1589</v>
      </c>
      <c r="F121" s="3">
        <v>25177</v>
      </c>
      <c r="G121" s="3">
        <v>2.89</v>
      </c>
      <c r="H121" s="4">
        <v>14154</v>
      </c>
    </row>
    <row r="122" spans="1:8" ht="15" thickBot="1" x14ac:dyDescent="0.35">
      <c r="A122" s="5" t="s">
        <v>28</v>
      </c>
      <c r="B122" s="2" t="s">
        <v>7</v>
      </c>
      <c r="C122" s="3">
        <v>1814</v>
      </c>
      <c r="D122" s="3">
        <v>49</v>
      </c>
      <c r="E122" s="3">
        <f>Table4[[#This Row],[New_Followers]]-Table4[[#This Row],[Unfollows]]</f>
        <v>1765</v>
      </c>
      <c r="F122" s="3">
        <v>140804</v>
      </c>
      <c r="G122" s="3">
        <v>1.76</v>
      </c>
      <c r="H122" s="4">
        <v>4313</v>
      </c>
    </row>
    <row r="123" spans="1:8" ht="15" thickBot="1" x14ac:dyDescent="0.35">
      <c r="A123" s="5" t="s">
        <v>28</v>
      </c>
      <c r="B123" s="2" t="s">
        <v>8</v>
      </c>
      <c r="C123" s="3">
        <v>1980</v>
      </c>
      <c r="D123" s="3">
        <v>204</v>
      </c>
      <c r="E123" s="3">
        <f>Table4[[#This Row],[New_Followers]]-Table4[[#This Row],[Unfollows]]</f>
        <v>1776</v>
      </c>
      <c r="F123" s="3">
        <v>379431</v>
      </c>
      <c r="G123" s="3">
        <v>3.09</v>
      </c>
      <c r="H123" s="4">
        <v>25140</v>
      </c>
    </row>
    <row r="124" spans="1:8" ht="15" thickBot="1" x14ac:dyDescent="0.35">
      <c r="A124" s="5" t="s">
        <v>28</v>
      </c>
      <c r="B124" s="2" t="s">
        <v>9</v>
      </c>
      <c r="C124" s="3">
        <v>1786</v>
      </c>
      <c r="D124" s="3">
        <v>257</v>
      </c>
      <c r="E124" s="3">
        <f>Table4[[#This Row],[New_Followers]]-Table4[[#This Row],[Unfollows]]</f>
        <v>1529</v>
      </c>
      <c r="F124" s="3">
        <v>274831</v>
      </c>
      <c r="G124" s="3">
        <v>4.68</v>
      </c>
      <c r="H124" s="4">
        <v>9118</v>
      </c>
    </row>
    <row r="125" spans="1:8" ht="15" thickBot="1" x14ac:dyDescent="0.35">
      <c r="A125" s="5" t="s">
        <v>28</v>
      </c>
      <c r="B125" s="2" t="s">
        <v>10</v>
      </c>
      <c r="C125" s="3">
        <v>1495</v>
      </c>
      <c r="D125" s="3">
        <v>35</v>
      </c>
      <c r="E125" s="3">
        <f>Table4[[#This Row],[New_Followers]]-Table4[[#This Row],[Unfollows]]</f>
        <v>1460</v>
      </c>
      <c r="F125" s="3">
        <v>136845</v>
      </c>
      <c r="G125" s="3">
        <v>4.4800000000000004</v>
      </c>
      <c r="H125" s="4">
        <v>39931</v>
      </c>
    </row>
    <row r="126" spans="1:8" ht="15" thickBot="1" x14ac:dyDescent="0.35">
      <c r="A126" s="1">
        <v>45809</v>
      </c>
      <c r="B126" s="2" t="s">
        <v>7</v>
      </c>
      <c r="C126" s="3">
        <v>1013</v>
      </c>
      <c r="D126" s="3">
        <v>110</v>
      </c>
      <c r="E126" s="3">
        <f>Table4[[#This Row],[New_Followers]]-Table4[[#This Row],[Unfollows]]</f>
        <v>903</v>
      </c>
      <c r="F126" s="3">
        <v>466382</v>
      </c>
      <c r="G126" s="3">
        <v>5.3</v>
      </c>
      <c r="H126" s="4">
        <v>37132</v>
      </c>
    </row>
    <row r="127" spans="1:8" ht="15" thickBot="1" x14ac:dyDescent="0.35">
      <c r="A127" s="1">
        <v>45809</v>
      </c>
      <c r="B127" s="2" t="s">
        <v>8</v>
      </c>
      <c r="C127" s="3">
        <v>816</v>
      </c>
      <c r="D127" s="3">
        <v>196</v>
      </c>
      <c r="E127" s="3">
        <f>Table4[[#This Row],[New_Followers]]-Table4[[#This Row],[Unfollows]]</f>
        <v>620</v>
      </c>
      <c r="F127" s="3">
        <v>95728</v>
      </c>
      <c r="G127" s="3">
        <v>8.1999999999999993</v>
      </c>
      <c r="H127" s="4">
        <v>17951</v>
      </c>
    </row>
    <row r="128" spans="1:8" ht="15" thickBot="1" x14ac:dyDescent="0.35">
      <c r="A128" s="1">
        <v>45809</v>
      </c>
      <c r="B128" s="2" t="s">
        <v>9</v>
      </c>
      <c r="C128" s="3">
        <v>1633</v>
      </c>
      <c r="D128" s="3">
        <v>445</v>
      </c>
      <c r="E128" s="3">
        <f>Table4[[#This Row],[New_Followers]]-Table4[[#This Row],[Unfollows]]</f>
        <v>1188</v>
      </c>
      <c r="F128" s="3">
        <v>371156</v>
      </c>
      <c r="G128" s="3">
        <v>2.2200000000000002</v>
      </c>
      <c r="H128" s="4">
        <v>2798</v>
      </c>
    </row>
    <row r="129" spans="1:8" ht="15" thickBot="1" x14ac:dyDescent="0.35">
      <c r="A129" s="1">
        <v>45809</v>
      </c>
      <c r="B129" s="2" t="s">
        <v>10</v>
      </c>
      <c r="C129" s="3">
        <v>891</v>
      </c>
      <c r="D129" s="3">
        <v>45</v>
      </c>
      <c r="E129" s="3">
        <f>Table4[[#This Row],[New_Followers]]-Table4[[#This Row],[Unfollows]]</f>
        <v>846</v>
      </c>
      <c r="F129" s="3">
        <v>95410</v>
      </c>
      <c r="G129" s="3">
        <v>8.33</v>
      </c>
      <c r="H129" s="4">
        <v>15045</v>
      </c>
    </row>
    <row r="130" spans="1:8" ht="15" thickBot="1" x14ac:dyDescent="0.35">
      <c r="A130" s="5" t="s">
        <v>29</v>
      </c>
      <c r="B130" s="2" t="s">
        <v>7</v>
      </c>
      <c r="C130" s="3">
        <v>1855</v>
      </c>
      <c r="D130" s="3">
        <v>133</v>
      </c>
      <c r="E130" s="3">
        <f>Table4[[#This Row],[New_Followers]]-Table4[[#This Row],[Unfollows]]</f>
        <v>1722</v>
      </c>
      <c r="F130" s="3">
        <v>349413</v>
      </c>
      <c r="G130" s="3">
        <v>3.3</v>
      </c>
      <c r="H130" s="4">
        <v>14548</v>
      </c>
    </row>
    <row r="131" spans="1:8" ht="15" thickBot="1" x14ac:dyDescent="0.35">
      <c r="A131" s="5" t="s">
        <v>29</v>
      </c>
      <c r="B131" s="2" t="s">
        <v>8</v>
      </c>
      <c r="C131" s="3">
        <v>651</v>
      </c>
      <c r="D131" s="3">
        <v>353</v>
      </c>
      <c r="E131" s="3">
        <f>Table4[[#This Row],[New_Followers]]-Table4[[#This Row],[Unfollows]]</f>
        <v>298</v>
      </c>
      <c r="F131" s="3">
        <v>224699</v>
      </c>
      <c r="G131" s="3">
        <v>5.61</v>
      </c>
      <c r="H131" s="4">
        <v>45708</v>
      </c>
    </row>
    <row r="132" spans="1:8" ht="15" thickBot="1" x14ac:dyDescent="0.35">
      <c r="A132" s="5" t="s">
        <v>29</v>
      </c>
      <c r="B132" s="2" t="s">
        <v>9</v>
      </c>
      <c r="C132" s="3">
        <v>118</v>
      </c>
      <c r="D132" s="3">
        <v>262</v>
      </c>
      <c r="E132" s="3">
        <f>Table4[[#This Row],[New_Followers]]-Table4[[#This Row],[Unfollows]]</f>
        <v>-144</v>
      </c>
      <c r="F132" s="3">
        <v>487896</v>
      </c>
      <c r="G132" s="3">
        <v>2.56</v>
      </c>
      <c r="H132" s="4">
        <v>12350</v>
      </c>
    </row>
    <row r="133" spans="1:8" ht="15" thickBot="1" x14ac:dyDescent="0.35">
      <c r="A133" s="5" t="s">
        <v>29</v>
      </c>
      <c r="B133" s="2" t="s">
        <v>10</v>
      </c>
      <c r="C133" s="3">
        <v>1331</v>
      </c>
      <c r="D133" s="3">
        <v>430</v>
      </c>
      <c r="E133" s="3">
        <f>Table4[[#This Row],[New_Followers]]-Table4[[#This Row],[Unfollows]]</f>
        <v>901</v>
      </c>
      <c r="F133" s="3">
        <v>14437</v>
      </c>
      <c r="G133" s="3">
        <v>3.29</v>
      </c>
      <c r="H133" s="4">
        <v>40868</v>
      </c>
    </row>
    <row r="134" spans="1:8" ht="15" thickBot="1" x14ac:dyDescent="0.35">
      <c r="A134" s="5" t="s">
        <v>30</v>
      </c>
      <c r="B134" s="2" t="s">
        <v>7</v>
      </c>
      <c r="C134" s="3">
        <v>1748</v>
      </c>
      <c r="D134" s="3">
        <v>176</v>
      </c>
      <c r="E134" s="3">
        <f>Table4[[#This Row],[New_Followers]]-Table4[[#This Row],[Unfollows]]</f>
        <v>1572</v>
      </c>
      <c r="F134" s="3">
        <v>383681</v>
      </c>
      <c r="G134" s="3">
        <v>9.24</v>
      </c>
      <c r="H134" s="4">
        <v>43122</v>
      </c>
    </row>
    <row r="135" spans="1:8" ht="15" thickBot="1" x14ac:dyDescent="0.35">
      <c r="A135" s="5" t="s">
        <v>30</v>
      </c>
      <c r="B135" s="2" t="s">
        <v>8</v>
      </c>
      <c r="C135" s="3">
        <v>663</v>
      </c>
      <c r="D135" s="3">
        <v>236</v>
      </c>
      <c r="E135" s="3">
        <f>Table4[[#This Row],[New_Followers]]-Table4[[#This Row],[Unfollows]]</f>
        <v>427</v>
      </c>
      <c r="F135" s="3">
        <v>479490</v>
      </c>
      <c r="G135" s="3">
        <v>4.51</v>
      </c>
      <c r="H135" s="4">
        <v>23853</v>
      </c>
    </row>
    <row r="136" spans="1:8" ht="15" thickBot="1" x14ac:dyDescent="0.35">
      <c r="A136" s="5" t="s">
        <v>30</v>
      </c>
      <c r="B136" s="2" t="s">
        <v>9</v>
      </c>
      <c r="C136" s="3">
        <v>1040</v>
      </c>
      <c r="D136" s="3">
        <v>149</v>
      </c>
      <c r="E136" s="3">
        <f>Table4[[#This Row],[New_Followers]]-Table4[[#This Row],[Unfollows]]</f>
        <v>891</v>
      </c>
      <c r="F136" s="3">
        <v>124404</v>
      </c>
      <c r="G136" s="3">
        <v>5.23</v>
      </c>
      <c r="H136" s="4">
        <v>45380</v>
      </c>
    </row>
    <row r="137" spans="1:8" ht="15" thickBot="1" x14ac:dyDescent="0.35">
      <c r="A137" s="5" t="s">
        <v>30</v>
      </c>
      <c r="B137" s="2" t="s">
        <v>10</v>
      </c>
      <c r="C137" s="3">
        <v>1166</v>
      </c>
      <c r="D137" s="3">
        <v>442</v>
      </c>
      <c r="E137" s="3">
        <f>Table4[[#This Row],[New_Followers]]-Table4[[#This Row],[Unfollows]]</f>
        <v>724</v>
      </c>
      <c r="F137" s="3">
        <v>336949</v>
      </c>
      <c r="G137" s="3">
        <v>4.68</v>
      </c>
      <c r="H137" s="4">
        <v>7705</v>
      </c>
    </row>
    <row r="138" spans="1:8" ht="15" thickBot="1" x14ac:dyDescent="0.35">
      <c r="A138" s="5" t="s">
        <v>31</v>
      </c>
      <c r="B138" s="2" t="s">
        <v>7</v>
      </c>
      <c r="C138" s="3">
        <v>115</v>
      </c>
      <c r="D138" s="3">
        <v>281</v>
      </c>
      <c r="E138" s="3">
        <f>Table4[[#This Row],[New_Followers]]-Table4[[#This Row],[Unfollows]]</f>
        <v>-166</v>
      </c>
      <c r="F138" s="3">
        <v>357265</v>
      </c>
      <c r="G138" s="3">
        <v>9.23</v>
      </c>
      <c r="H138" s="4">
        <v>25525</v>
      </c>
    </row>
    <row r="139" spans="1:8" ht="15" thickBot="1" x14ac:dyDescent="0.35">
      <c r="A139" s="5" t="s">
        <v>31</v>
      </c>
      <c r="B139" s="2" t="s">
        <v>8</v>
      </c>
      <c r="C139" s="3">
        <v>1249</v>
      </c>
      <c r="D139" s="3">
        <v>351</v>
      </c>
      <c r="E139" s="3">
        <f>Table4[[#This Row],[New_Followers]]-Table4[[#This Row],[Unfollows]]</f>
        <v>898</v>
      </c>
      <c r="F139" s="3">
        <v>321307</v>
      </c>
      <c r="G139" s="3">
        <v>6.37</v>
      </c>
      <c r="H139" s="4">
        <v>20560</v>
      </c>
    </row>
    <row r="140" spans="1:8" ht="15" thickBot="1" x14ac:dyDescent="0.35">
      <c r="A140" s="5" t="s">
        <v>31</v>
      </c>
      <c r="B140" s="2" t="s">
        <v>9</v>
      </c>
      <c r="C140" s="3">
        <v>1501</v>
      </c>
      <c r="D140" s="3">
        <v>75</v>
      </c>
      <c r="E140" s="3">
        <f>Table4[[#This Row],[New_Followers]]-Table4[[#This Row],[Unfollows]]</f>
        <v>1426</v>
      </c>
      <c r="F140" s="3">
        <v>262569</v>
      </c>
      <c r="G140" s="3">
        <v>2.0099999999999998</v>
      </c>
      <c r="H140" s="4">
        <v>19119</v>
      </c>
    </row>
    <row r="141" spans="1:8" ht="15" thickBot="1" x14ac:dyDescent="0.35">
      <c r="A141" s="5" t="s">
        <v>31</v>
      </c>
      <c r="B141" s="2" t="s">
        <v>10</v>
      </c>
      <c r="C141" s="3">
        <v>1411</v>
      </c>
      <c r="D141" s="3">
        <v>186</v>
      </c>
      <c r="E141" s="3">
        <f>Table4[[#This Row],[New_Followers]]-Table4[[#This Row],[Unfollows]]</f>
        <v>1225</v>
      </c>
      <c r="F141" s="3">
        <v>461669</v>
      </c>
      <c r="G141" s="3">
        <v>3.72</v>
      </c>
      <c r="H141" s="4">
        <v>43999</v>
      </c>
    </row>
    <row r="142" spans="1:8" ht="15" thickBot="1" x14ac:dyDescent="0.35">
      <c r="A142" s="1">
        <v>45718</v>
      </c>
      <c r="B142" s="2" t="s">
        <v>7</v>
      </c>
      <c r="C142" s="3">
        <v>1556</v>
      </c>
      <c r="D142" s="3">
        <v>476</v>
      </c>
      <c r="E142" s="3">
        <f>Table4[[#This Row],[New_Followers]]-Table4[[#This Row],[Unfollows]]</f>
        <v>1080</v>
      </c>
      <c r="F142" s="3">
        <v>351556</v>
      </c>
      <c r="G142" s="3">
        <v>3.89</v>
      </c>
      <c r="H142" s="4">
        <v>10825</v>
      </c>
    </row>
    <row r="143" spans="1:8" ht="15" thickBot="1" x14ac:dyDescent="0.35">
      <c r="A143" s="1">
        <v>45718</v>
      </c>
      <c r="B143" s="2" t="s">
        <v>8</v>
      </c>
      <c r="C143" s="3">
        <v>1159</v>
      </c>
      <c r="D143" s="3">
        <v>411</v>
      </c>
      <c r="E143" s="3">
        <f>Table4[[#This Row],[New_Followers]]-Table4[[#This Row],[Unfollows]]</f>
        <v>748</v>
      </c>
      <c r="F143" s="3">
        <v>135987</v>
      </c>
      <c r="G143" s="3">
        <v>8.6999999999999993</v>
      </c>
      <c r="H143" s="4">
        <v>40323</v>
      </c>
    </row>
    <row r="144" spans="1:8" ht="15" thickBot="1" x14ac:dyDescent="0.35">
      <c r="A144" s="1">
        <v>45718</v>
      </c>
      <c r="B144" s="2" t="s">
        <v>9</v>
      </c>
      <c r="C144" s="3">
        <v>927</v>
      </c>
      <c r="D144" s="3">
        <v>358</v>
      </c>
      <c r="E144" s="3">
        <f>Table4[[#This Row],[New_Followers]]-Table4[[#This Row],[Unfollows]]</f>
        <v>569</v>
      </c>
      <c r="F144" s="3">
        <v>177554</v>
      </c>
      <c r="G144" s="3">
        <v>6.95</v>
      </c>
      <c r="H144" s="4">
        <v>48270</v>
      </c>
    </row>
    <row r="145" spans="1:8" ht="15" thickBot="1" x14ac:dyDescent="0.35">
      <c r="A145" s="1">
        <v>45718</v>
      </c>
      <c r="B145" s="2" t="s">
        <v>10</v>
      </c>
      <c r="C145" s="3">
        <v>152</v>
      </c>
      <c r="D145" s="3">
        <v>355</v>
      </c>
      <c r="E145" s="3">
        <f>Table4[[#This Row],[New_Followers]]-Table4[[#This Row],[Unfollows]]</f>
        <v>-203</v>
      </c>
      <c r="F145" s="3">
        <v>270766</v>
      </c>
      <c r="G145" s="3">
        <v>9.48</v>
      </c>
      <c r="H145" s="4">
        <v>18001</v>
      </c>
    </row>
    <row r="146" spans="1:8" ht="15" thickBot="1" x14ac:dyDescent="0.35">
      <c r="A146" s="1">
        <v>45932</v>
      </c>
      <c r="B146" s="2" t="s">
        <v>7</v>
      </c>
      <c r="C146" s="3">
        <v>1957</v>
      </c>
      <c r="D146" s="3">
        <v>234</v>
      </c>
      <c r="E146" s="3">
        <f>Table4[[#This Row],[New_Followers]]-Table4[[#This Row],[Unfollows]]</f>
        <v>1723</v>
      </c>
      <c r="F146" s="3">
        <v>222126</v>
      </c>
      <c r="G146" s="3">
        <v>4.6100000000000003</v>
      </c>
      <c r="H146" s="4">
        <v>3314</v>
      </c>
    </row>
    <row r="147" spans="1:8" ht="15" thickBot="1" x14ac:dyDescent="0.35">
      <c r="A147" s="1">
        <v>45932</v>
      </c>
      <c r="B147" s="2" t="s">
        <v>8</v>
      </c>
      <c r="C147" s="3">
        <v>1294</v>
      </c>
      <c r="D147" s="3">
        <v>382</v>
      </c>
      <c r="E147" s="3">
        <f>Table4[[#This Row],[New_Followers]]-Table4[[#This Row],[Unfollows]]</f>
        <v>912</v>
      </c>
      <c r="F147" s="3">
        <v>309914</v>
      </c>
      <c r="G147" s="3">
        <v>8.0299999999999994</v>
      </c>
      <c r="H147" s="4">
        <v>23489</v>
      </c>
    </row>
    <row r="148" spans="1:8" ht="15" thickBot="1" x14ac:dyDescent="0.35">
      <c r="A148" s="1">
        <v>45932</v>
      </c>
      <c r="B148" s="2" t="s">
        <v>9</v>
      </c>
      <c r="C148" s="3">
        <v>1587</v>
      </c>
      <c r="D148" s="3">
        <v>385</v>
      </c>
      <c r="E148" s="3">
        <f>Table4[[#This Row],[New_Followers]]-Table4[[#This Row],[Unfollows]]</f>
        <v>1202</v>
      </c>
      <c r="F148" s="3">
        <v>126582</v>
      </c>
      <c r="G148" s="3">
        <v>6.99</v>
      </c>
      <c r="H148" s="4">
        <v>42832</v>
      </c>
    </row>
    <row r="149" spans="1:8" ht="15" thickBot="1" x14ac:dyDescent="0.35">
      <c r="A149" s="1">
        <v>45932</v>
      </c>
      <c r="B149" s="2" t="s">
        <v>10</v>
      </c>
      <c r="C149" s="3">
        <v>1707</v>
      </c>
      <c r="D149" s="3">
        <v>263</v>
      </c>
      <c r="E149" s="3">
        <f>Table4[[#This Row],[New_Followers]]-Table4[[#This Row],[Unfollows]]</f>
        <v>1444</v>
      </c>
      <c r="F149" s="3">
        <v>485280</v>
      </c>
      <c r="G149" s="3">
        <v>9.0299999999999994</v>
      </c>
      <c r="H149" s="4">
        <v>24494</v>
      </c>
    </row>
    <row r="150" spans="1:8" ht="15" thickBot="1" x14ac:dyDescent="0.35">
      <c r="A150" s="5" t="s">
        <v>32</v>
      </c>
      <c r="B150" s="2" t="s">
        <v>7</v>
      </c>
      <c r="C150" s="3">
        <v>1138</v>
      </c>
      <c r="D150" s="3">
        <v>173</v>
      </c>
      <c r="E150" s="3">
        <f>Table4[[#This Row],[New_Followers]]-Table4[[#This Row],[Unfollows]]</f>
        <v>965</v>
      </c>
      <c r="F150" s="3">
        <v>453243</v>
      </c>
      <c r="G150" s="3">
        <v>2.86</v>
      </c>
      <c r="H150" s="4">
        <v>44097</v>
      </c>
    </row>
    <row r="151" spans="1:8" ht="15" thickBot="1" x14ac:dyDescent="0.35">
      <c r="A151" s="5" t="s">
        <v>32</v>
      </c>
      <c r="B151" s="2" t="s">
        <v>8</v>
      </c>
      <c r="C151" s="3">
        <v>1895</v>
      </c>
      <c r="D151" s="3">
        <v>305</v>
      </c>
      <c r="E151" s="3">
        <f>Table4[[#This Row],[New_Followers]]-Table4[[#This Row],[Unfollows]]</f>
        <v>1590</v>
      </c>
      <c r="F151" s="3">
        <v>104967</v>
      </c>
      <c r="G151" s="3">
        <v>3.85</v>
      </c>
      <c r="H151" s="4">
        <v>31853</v>
      </c>
    </row>
    <row r="152" spans="1:8" ht="15" thickBot="1" x14ac:dyDescent="0.35">
      <c r="A152" s="5" t="s">
        <v>32</v>
      </c>
      <c r="B152" s="2" t="s">
        <v>9</v>
      </c>
      <c r="C152" s="3">
        <v>362</v>
      </c>
      <c r="D152" s="3">
        <v>399</v>
      </c>
      <c r="E152" s="3">
        <f>Table4[[#This Row],[New_Followers]]-Table4[[#This Row],[Unfollows]]</f>
        <v>-37</v>
      </c>
      <c r="F152" s="3">
        <v>145608</v>
      </c>
      <c r="G152" s="3">
        <v>7.3</v>
      </c>
      <c r="H152" s="4">
        <v>37636</v>
      </c>
    </row>
    <row r="153" spans="1:8" ht="15" thickBot="1" x14ac:dyDescent="0.35">
      <c r="A153" s="5" t="s">
        <v>32</v>
      </c>
      <c r="B153" s="2" t="s">
        <v>10</v>
      </c>
      <c r="C153" s="3">
        <v>1662</v>
      </c>
      <c r="D153" s="3">
        <v>487</v>
      </c>
      <c r="E153" s="3">
        <f>Table4[[#This Row],[New_Followers]]-Table4[[#This Row],[Unfollows]]</f>
        <v>1175</v>
      </c>
      <c r="F153" s="3">
        <v>105980</v>
      </c>
      <c r="G153" s="3">
        <v>9.08</v>
      </c>
      <c r="H153" s="4">
        <v>22996</v>
      </c>
    </row>
    <row r="154" spans="1:8" ht="15" thickBot="1" x14ac:dyDescent="0.35">
      <c r="A154" s="5" t="s">
        <v>33</v>
      </c>
      <c r="B154" s="2" t="s">
        <v>7</v>
      </c>
      <c r="C154" s="3">
        <v>1440</v>
      </c>
      <c r="D154" s="3">
        <v>65</v>
      </c>
      <c r="E154" s="3">
        <f>Table4[[#This Row],[New_Followers]]-Table4[[#This Row],[Unfollows]]</f>
        <v>1375</v>
      </c>
      <c r="F154" s="3">
        <v>126524</v>
      </c>
      <c r="G154" s="3">
        <v>4.34</v>
      </c>
      <c r="H154" s="4">
        <v>49772</v>
      </c>
    </row>
    <row r="155" spans="1:8" ht="15" thickBot="1" x14ac:dyDescent="0.35">
      <c r="A155" s="5" t="s">
        <v>33</v>
      </c>
      <c r="B155" s="2" t="s">
        <v>8</v>
      </c>
      <c r="C155" s="3">
        <v>1884</v>
      </c>
      <c r="D155" s="3">
        <v>177</v>
      </c>
      <c r="E155" s="3">
        <f>Table4[[#This Row],[New_Followers]]-Table4[[#This Row],[Unfollows]]</f>
        <v>1707</v>
      </c>
      <c r="F155" s="3">
        <v>230448</v>
      </c>
      <c r="G155" s="3">
        <v>7.8</v>
      </c>
      <c r="H155" s="4">
        <v>22713</v>
      </c>
    </row>
    <row r="156" spans="1:8" ht="15" thickBot="1" x14ac:dyDescent="0.35">
      <c r="A156" s="5" t="s">
        <v>33</v>
      </c>
      <c r="B156" s="2" t="s">
        <v>9</v>
      </c>
      <c r="C156" s="3">
        <v>861</v>
      </c>
      <c r="D156" s="3">
        <v>153</v>
      </c>
      <c r="E156" s="3">
        <f>Table4[[#This Row],[New_Followers]]-Table4[[#This Row],[Unfollows]]</f>
        <v>708</v>
      </c>
      <c r="F156" s="3">
        <v>317007</v>
      </c>
      <c r="G156" s="3">
        <v>3.85</v>
      </c>
      <c r="H156" s="4">
        <v>8718</v>
      </c>
    </row>
    <row r="157" spans="1:8" ht="15" thickBot="1" x14ac:dyDescent="0.35">
      <c r="A157" s="5" t="s">
        <v>33</v>
      </c>
      <c r="B157" s="2" t="s">
        <v>10</v>
      </c>
      <c r="C157" s="3">
        <v>1063</v>
      </c>
      <c r="D157" s="3">
        <v>47</v>
      </c>
      <c r="E157" s="3">
        <f>Table4[[#This Row],[New_Followers]]-Table4[[#This Row],[Unfollows]]</f>
        <v>1016</v>
      </c>
      <c r="F157" s="3">
        <v>464239</v>
      </c>
      <c r="G157" s="3">
        <v>6.58</v>
      </c>
      <c r="H157" s="4">
        <v>39031</v>
      </c>
    </row>
    <row r="158" spans="1:8" ht="15" thickBot="1" x14ac:dyDescent="0.35">
      <c r="A158" s="1">
        <v>45719</v>
      </c>
      <c r="B158" s="2" t="s">
        <v>7</v>
      </c>
      <c r="C158" s="3">
        <v>1371</v>
      </c>
      <c r="D158" s="3">
        <v>56</v>
      </c>
      <c r="E158" s="3">
        <f>Table4[[#This Row],[New_Followers]]-Table4[[#This Row],[Unfollows]]</f>
        <v>1315</v>
      </c>
      <c r="F158" s="3">
        <v>257579</v>
      </c>
      <c r="G158" s="3">
        <v>8.6199999999999992</v>
      </c>
      <c r="H158" s="4">
        <v>33799</v>
      </c>
    </row>
    <row r="159" spans="1:8" ht="15" thickBot="1" x14ac:dyDescent="0.35">
      <c r="A159" s="1">
        <v>45719</v>
      </c>
      <c r="B159" s="2" t="s">
        <v>8</v>
      </c>
      <c r="C159" s="3">
        <v>345</v>
      </c>
      <c r="D159" s="3">
        <v>464</v>
      </c>
      <c r="E159" s="3">
        <f>Table4[[#This Row],[New_Followers]]-Table4[[#This Row],[Unfollows]]</f>
        <v>-119</v>
      </c>
      <c r="F159" s="3">
        <v>366881</v>
      </c>
      <c r="G159" s="3">
        <v>4.55</v>
      </c>
      <c r="H159" s="4">
        <v>20553</v>
      </c>
    </row>
    <row r="160" spans="1:8" ht="15" thickBot="1" x14ac:dyDescent="0.35">
      <c r="A160" s="1">
        <v>45719</v>
      </c>
      <c r="B160" s="2" t="s">
        <v>9</v>
      </c>
      <c r="C160" s="3">
        <v>946</v>
      </c>
      <c r="D160" s="3">
        <v>47</v>
      </c>
      <c r="E160" s="3">
        <f>Table4[[#This Row],[New_Followers]]-Table4[[#This Row],[Unfollows]]</f>
        <v>899</v>
      </c>
      <c r="F160" s="3">
        <v>466575</v>
      </c>
      <c r="G160" s="3">
        <v>8.33</v>
      </c>
      <c r="H160" s="4">
        <v>10002</v>
      </c>
    </row>
    <row r="161" spans="1:8" ht="15" thickBot="1" x14ac:dyDescent="0.35">
      <c r="A161" s="1">
        <v>45719</v>
      </c>
      <c r="B161" s="2" t="s">
        <v>10</v>
      </c>
      <c r="C161" s="3">
        <v>510</v>
      </c>
      <c r="D161" s="3">
        <v>195</v>
      </c>
      <c r="E161" s="3">
        <f>Table4[[#This Row],[New_Followers]]-Table4[[#This Row],[Unfollows]]</f>
        <v>315</v>
      </c>
      <c r="F161" s="3">
        <v>224534</v>
      </c>
      <c r="G161" s="3">
        <v>9.4</v>
      </c>
      <c r="H161" s="4">
        <v>30987</v>
      </c>
    </row>
    <row r="162" spans="1:8" ht="15" thickBot="1" x14ac:dyDescent="0.35">
      <c r="A162" s="1">
        <v>45933</v>
      </c>
      <c r="B162" s="2" t="s">
        <v>7</v>
      </c>
      <c r="C162" s="3">
        <v>393</v>
      </c>
      <c r="D162" s="3">
        <v>181</v>
      </c>
      <c r="E162" s="3">
        <f>Table4[[#This Row],[New_Followers]]-Table4[[#This Row],[Unfollows]]</f>
        <v>212</v>
      </c>
      <c r="F162" s="3">
        <v>462142</v>
      </c>
      <c r="G162" s="3">
        <v>7.23</v>
      </c>
      <c r="H162" s="4">
        <v>6296</v>
      </c>
    </row>
    <row r="163" spans="1:8" ht="15" thickBot="1" x14ac:dyDescent="0.35">
      <c r="A163" s="1">
        <v>45933</v>
      </c>
      <c r="B163" s="2" t="s">
        <v>8</v>
      </c>
      <c r="C163" s="3">
        <v>1098</v>
      </c>
      <c r="D163" s="3">
        <v>190</v>
      </c>
      <c r="E163" s="3">
        <f>Table4[[#This Row],[New_Followers]]-Table4[[#This Row],[Unfollows]]</f>
        <v>908</v>
      </c>
      <c r="F163" s="3">
        <v>340842</v>
      </c>
      <c r="G163" s="3">
        <v>9.39</v>
      </c>
      <c r="H163" s="4">
        <v>21539</v>
      </c>
    </row>
    <row r="164" spans="1:8" ht="15" thickBot="1" x14ac:dyDescent="0.35">
      <c r="A164" s="1">
        <v>45933</v>
      </c>
      <c r="B164" s="2" t="s">
        <v>9</v>
      </c>
      <c r="C164" s="3">
        <v>1399</v>
      </c>
      <c r="D164" s="3">
        <v>49</v>
      </c>
      <c r="E164" s="3">
        <f>Table4[[#This Row],[New_Followers]]-Table4[[#This Row],[Unfollows]]</f>
        <v>1350</v>
      </c>
      <c r="F164" s="3">
        <v>12471</v>
      </c>
      <c r="G164" s="3">
        <v>5.12</v>
      </c>
      <c r="H164" s="4">
        <v>14722</v>
      </c>
    </row>
    <row r="165" spans="1:8" ht="15" thickBot="1" x14ac:dyDescent="0.35">
      <c r="A165" s="1">
        <v>45933</v>
      </c>
      <c r="B165" s="2" t="s">
        <v>10</v>
      </c>
      <c r="C165" s="3">
        <v>1658</v>
      </c>
      <c r="D165" s="3">
        <v>416</v>
      </c>
      <c r="E165" s="3">
        <f>Table4[[#This Row],[New_Followers]]-Table4[[#This Row],[Unfollows]]</f>
        <v>1242</v>
      </c>
      <c r="F165" s="3">
        <v>98397</v>
      </c>
      <c r="G165" s="3">
        <v>6.11</v>
      </c>
      <c r="H165" s="4">
        <v>11383</v>
      </c>
    </row>
    <row r="166" spans="1:8" ht="15" thickBot="1" x14ac:dyDescent="0.35">
      <c r="A166" s="5" t="s">
        <v>34</v>
      </c>
      <c r="B166" s="2" t="s">
        <v>7</v>
      </c>
      <c r="C166" s="3">
        <v>1102</v>
      </c>
      <c r="D166" s="3">
        <v>422</v>
      </c>
      <c r="E166" s="3">
        <f>Table4[[#This Row],[New_Followers]]-Table4[[#This Row],[Unfollows]]</f>
        <v>680</v>
      </c>
      <c r="F166" s="3">
        <v>410330</v>
      </c>
      <c r="G166" s="3">
        <v>7.74</v>
      </c>
      <c r="H166" s="4">
        <v>9480</v>
      </c>
    </row>
    <row r="167" spans="1:8" ht="15" thickBot="1" x14ac:dyDescent="0.35">
      <c r="A167" s="5" t="s">
        <v>34</v>
      </c>
      <c r="B167" s="2" t="s">
        <v>8</v>
      </c>
      <c r="C167" s="3">
        <v>1358</v>
      </c>
      <c r="D167" s="3">
        <v>242</v>
      </c>
      <c r="E167" s="3">
        <f>Table4[[#This Row],[New_Followers]]-Table4[[#This Row],[Unfollows]]</f>
        <v>1116</v>
      </c>
      <c r="F167" s="3">
        <v>342129</v>
      </c>
      <c r="G167" s="3">
        <v>4.9400000000000004</v>
      </c>
      <c r="H167" s="4">
        <v>29116</v>
      </c>
    </row>
    <row r="168" spans="1:8" ht="15" thickBot="1" x14ac:dyDescent="0.35">
      <c r="A168" s="5" t="s">
        <v>34</v>
      </c>
      <c r="B168" s="2" t="s">
        <v>9</v>
      </c>
      <c r="C168" s="3">
        <v>1077</v>
      </c>
      <c r="D168" s="3">
        <v>216</v>
      </c>
      <c r="E168" s="3">
        <f>Table4[[#This Row],[New_Followers]]-Table4[[#This Row],[Unfollows]]</f>
        <v>861</v>
      </c>
      <c r="F168" s="3">
        <v>12447</v>
      </c>
      <c r="G168" s="3">
        <v>1.8</v>
      </c>
      <c r="H168" s="4">
        <v>14068</v>
      </c>
    </row>
    <row r="169" spans="1:8" ht="15" thickBot="1" x14ac:dyDescent="0.35">
      <c r="A169" s="5" t="s">
        <v>34</v>
      </c>
      <c r="B169" s="2" t="s">
        <v>10</v>
      </c>
      <c r="C169" s="3">
        <v>1596</v>
      </c>
      <c r="D169" s="3">
        <v>211</v>
      </c>
      <c r="E169" s="3">
        <f>Table4[[#This Row],[New_Followers]]-Table4[[#This Row],[Unfollows]]</f>
        <v>1385</v>
      </c>
      <c r="F169" s="3">
        <v>17380</v>
      </c>
      <c r="G169" s="3">
        <v>8.64</v>
      </c>
      <c r="H169" s="4">
        <v>35801</v>
      </c>
    </row>
    <row r="170" spans="1:8" ht="15" thickBot="1" x14ac:dyDescent="0.35">
      <c r="A170" s="5" t="s">
        <v>35</v>
      </c>
      <c r="B170" s="2" t="s">
        <v>7</v>
      </c>
      <c r="C170" s="3">
        <v>490</v>
      </c>
      <c r="D170" s="3">
        <v>29</v>
      </c>
      <c r="E170" s="3">
        <f>Table4[[#This Row],[New_Followers]]-Table4[[#This Row],[Unfollows]]</f>
        <v>461</v>
      </c>
      <c r="F170" s="3">
        <v>364810</v>
      </c>
      <c r="G170" s="3">
        <v>1.53</v>
      </c>
      <c r="H170" s="4">
        <v>49077</v>
      </c>
    </row>
    <row r="171" spans="1:8" ht="15" thickBot="1" x14ac:dyDescent="0.35">
      <c r="A171" s="5" t="s">
        <v>35</v>
      </c>
      <c r="B171" s="2" t="s">
        <v>8</v>
      </c>
      <c r="C171" s="3">
        <v>609</v>
      </c>
      <c r="D171" s="3">
        <v>135</v>
      </c>
      <c r="E171" s="3">
        <f>Table4[[#This Row],[New_Followers]]-Table4[[#This Row],[Unfollows]]</f>
        <v>474</v>
      </c>
      <c r="F171" s="3">
        <v>373606</v>
      </c>
      <c r="G171" s="3">
        <v>8.52</v>
      </c>
      <c r="H171" s="4">
        <v>21453</v>
      </c>
    </row>
    <row r="172" spans="1:8" ht="15" thickBot="1" x14ac:dyDescent="0.35">
      <c r="A172" s="5" t="s">
        <v>35</v>
      </c>
      <c r="B172" s="2" t="s">
        <v>9</v>
      </c>
      <c r="C172" s="3">
        <v>364</v>
      </c>
      <c r="D172" s="3">
        <v>72</v>
      </c>
      <c r="E172" s="3">
        <f>Table4[[#This Row],[New_Followers]]-Table4[[#This Row],[Unfollows]]</f>
        <v>292</v>
      </c>
      <c r="F172" s="3">
        <v>211090</v>
      </c>
      <c r="G172" s="3">
        <v>5.53</v>
      </c>
      <c r="H172" s="4">
        <v>21061</v>
      </c>
    </row>
    <row r="173" spans="1:8" ht="15" thickBot="1" x14ac:dyDescent="0.35">
      <c r="A173" s="5" t="s">
        <v>35</v>
      </c>
      <c r="B173" s="2" t="s">
        <v>10</v>
      </c>
      <c r="C173" s="3">
        <v>442</v>
      </c>
      <c r="D173" s="3">
        <v>53</v>
      </c>
      <c r="E173" s="3">
        <f>Table4[[#This Row],[New_Followers]]-Table4[[#This Row],[Unfollows]]</f>
        <v>389</v>
      </c>
      <c r="F173" s="3">
        <v>441931</v>
      </c>
      <c r="G173" s="3">
        <v>1.87</v>
      </c>
      <c r="H173" s="4">
        <v>20059</v>
      </c>
    </row>
    <row r="174" spans="1:8" ht="15" thickBot="1" x14ac:dyDescent="0.35">
      <c r="A174" s="5" t="s">
        <v>36</v>
      </c>
      <c r="B174" s="2" t="s">
        <v>7</v>
      </c>
      <c r="C174" s="3">
        <v>1033</v>
      </c>
      <c r="D174" s="3">
        <v>392</v>
      </c>
      <c r="E174" s="3">
        <f>Table4[[#This Row],[New_Followers]]-Table4[[#This Row],[Unfollows]]</f>
        <v>641</v>
      </c>
      <c r="F174" s="3">
        <v>282780</v>
      </c>
      <c r="G174" s="3">
        <v>6.27</v>
      </c>
      <c r="H174" s="4">
        <v>23140</v>
      </c>
    </row>
    <row r="175" spans="1:8" ht="15" thickBot="1" x14ac:dyDescent="0.35">
      <c r="A175" s="5" t="s">
        <v>36</v>
      </c>
      <c r="B175" s="2" t="s">
        <v>8</v>
      </c>
      <c r="C175" s="3">
        <v>988</v>
      </c>
      <c r="D175" s="3">
        <v>474</v>
      </c>
      <c r="E175" s="3">
        <f>Table4[[#This Row],[New_Followers]]-Table4[[#This Row],[Unfollows]]</f>
        <v>514</v>
      </c>
      <c r="F175" s="3">
        <v>370070</v>
      </c>
      <c r="G175" s="3">
        <v>9.4600000000000009</v>
      </c>
      <c r="H175" s="4">
        <v>23461</v>
      </c>
    </row>
    <row r="176" spans="1:8" ht="15" thickBot="1" x14ac:dyDescent="0.35">
      <c r="A176" s="5" t="s">
        <v>36</v>
      </c>
      <c r="B176" s="2" t="s">
        <v>9</v>
      </c>
      <c r="C176" s="3">
        <v>1946</v>
      </c>
      <c r="D176" s="3">
        <v>270</v>
      </c>
      <c r="E176" s="3">
        <f>Table4[[#This Row],[New_Followers]]-Table4[[#This Row],[Unfollows]]</f>
        <v>1676</v>
      </c>
      <c r="F176" s="3">
        <v>198350</v>
      </c>
      <c r="G176" s="3">
        <v>7.5</v>
      </c>
      <c r="H176" s="4">
        <v>11805</v>
      </c>
    </row>
    <row r="177" spans="1:8" ht="15" thickBot="1" x14ac:dyDescent="0.35">
      <c r="A177" s="5" t="s">
        <v>36</v>
      </c>
      <c r="B177" s="2" t="s">
        <v>10</v>
      </c>
      <c r="C177" s="3">
        <v>1957</v>
      </c>
      <c r="D177" s="3">
        <v>490</v>
      </c>
      <c r="E177" s="3">
        <f>Table4[[#This Row],[New_Followers]]-Table4[[#This Row],[Unfollows]]</f>
        <v>1467</v>
      </c>
      <c r="F177" s="3">
        <v>435726</v>
      </c>
      <c r="G177" s="3">
        <v>4.7300000000000004</v>
      </c>
      <c r="H177" s="4">
        <v>15969</v>
      </c>
    </row>
    <row r="178" spans="1:8" ht="15" thickBot="1" x14ac:dyDescent="0.35">
      <c r="A178" s="1">
        <v>45842</v>
      </c>
      <c r="B178" s="2" t="s">
        <v>7</v>
      </c>
      <c r="C178" s="3">
        <v>559</v>
      </c>
      <c r="D178" s="3">
        <v>392</v>
      </c>
      <c r="E178" s="3">
        <f>Table4[[#This Row],[New_Followers]]-Table4[[#This Row],[Unfollows]]</f>
        <v>167</v>
      </c>
      <c r="F178" s="3">
        <v>78789</v>
      </c>
      <c r="G178" s="3">
        <v>3.19</v>
      </c>
      <c r="H178" s="4">
        <v>2436</v>
      </c>
    </row>
    <row r="179" spans="1:8" ht="15" thickBot="1" x14ac:dyDescent="0.35">
      <c r="A179" s="1">
        <v>45842</v>
      </c>
      <c r="B179" s="2" t="s">
        <v>8</v>
      </c>
      <c r="C179" s="3">
        <v>1307</v>
      </c>
      <c r="D179" s="3">
        <v>278</v>
      </c>
      <c r="E179" s="3">
        <f>Table4[[#This Row],[New_Followers]]-Table4[[#This Row],[Unfollows]]</f>
        <v>1029</v>
      </c>
      <c r="F179" s="3">
        <v>98596</v>
      </c>
      <c r="G179" s="3">
        <v>2.4900000000000002</v>
      </c>
      <c r="H179" s="4">
        <v>47603</v>
      </c>
    </row>
    <row r="180" spans="1:8" ht="15" thickBot="1" x14ac:dyDescent="0.35">
      <c r="A180" s="1">
        <v>45842</v>
      </c>
      <c r="B180" s="2" t="s">
        <v>9</v>
      </c>
      <c r="C180" s="3">
        <v>1432</v>
      </c>
      <c r="D180" s="3">
        <v>425</v>
      </c>
      <c r="E180" s="3">
        <f>Table4[[#This Row],[New_Followers]]-Table4[[#This Row],[Unfollows]]</f>
        <v>1007</v>
      </c>
      <c r="F180" s="3">
        <v>29589</v>
      </c>
      <c r="G180" s="3">
        <v>4.5</v>
      </c>
      <c r="H180" s="4">
        <v>42964</v>
      </c>
    </row>
    <row r="181" spans="1:8" ht="15" thickBot="1" x14ac:dyDescent="0.35">
      <c r="A181" s="1">
        <v>45842</v>
      </c>
      <c r="B181" s="2" t="s">
        <v>10</v>
      </c>
      <c r="C181" s="3">
        <v>623</v>
      </c>
      <c r="D181" s="3">
        <v>414</v>
      </c>
      <c r="E181" s="3">
        <f>Table4[[#This Row],[New_Followers]]-Table4[[#This Row],[Unfollows]]</f>
        <v>209</v>
      </c>
      <c r="F181" s="3">
        <v>290354</v>
      </c>
      <c r="G181" s="3">
        <v>6.49</v>
      </c>
      <c r="H181" s="4">
        <v>39923</v>
      </c>
    </row>
    <row r="182" spans="1:8" ht="15" thickBot="1" x14ac:dyDescent="0.35">
      <c r="A182" s="5" t="s">
        <v>37</v>
      </c>
      <c r="B182" s="2" t="s">
        <v>7</v>
      </c>
      <c r="C182" s="3">
        <v>198</v>
      </c>
      <c r="D182" s="3">
        <v>358</v>
      </c>
      <c r="E182" s="3">
        <f>Table4[[#This Row],[New_Followers]]-Table4[[#This Row],[Unfollows]]</f>
        <v>-160</v>
      </c>
      <c r="F182" s="3">
        <v>66682</v>
      </c>
      <c r="G182" s="3">
        <v>6.73</v>
      </c>
      <c r="H182" s="4">
        <v>2293</v>
      </c>
    </row>
    <row r="183" spans="1:8" ht="15" thickBot="1" x14ac:dyDescent="0.35">
      <c r="A183" s="5" t="s">
        <v>37</v>
      </c>
      <c r="B183" s="2" t="s">
        <v>8</v>
      </c>
      <c r="C183" s="3">
        <v>198</v>
      </c>
      <c r="D183" s="3">
        <v>373</v>
      </c>
      <c r="E183" s="3">
        <f>Table4[[#This Row],[New_Followers]]-Table4[[#This Row],[Unfollows]]</f>
        <v>-175</v>
      </c>
      <c r="F183" s="3">
        <v>70707</v>
      </c>
      <c r="G183" s="3">
        <v>4.83</v>
      </c>
      <c r="H183" s="4">
        <v>25920</v>
      </c>
    </row>
    <row r="184" spans="1:8" ht="15" thickBot="1" x14ac:dyDescent="0.35">
      <c r="A184" s="5" t="s">
        <v>37</v>
      </c>
      <c r="B184" s="2" t="s">
        <v>9</v>
      </c>
      <c r="C184" s="3">
        <v>353</v>
      </c>
      <c r="D184" s="3">
        <v>300</v>
      </c>
      <c r="E184" s="3">
        <f>Table4[[#This Row],[New_Followers]]-Table4[[#This Row],[Unfollows]]</f>
        <v>53</v>
      </c>
      <c r="F184" s="3">
        <v>142507</v>
      </c>
      <c r="G184" s="3">
        <v>5.3</v>
      </c>
      <c r="H184" s="4">
        <v>11035</v>
      </c>
    </row>
    <row r="185" spans="1:8" ht="15" thickBot="1" x14ac:dyDescent="0.35">
      <c r="A185" s="5" t="s">
        <v>37</v>
      </c>
      <c r="B185" s="2" t="s">
        <v>10</v>
      </c>
      <c r="C185" s="3">
        <v>520</v>
      </c>
      <c r="D185" s="3">
        <v>375</v>
      </c>
      <c r="E185" s="3">
        <f>Table4[[#This Row],[New_Followers]]-Table4[[#This Row],[Unfollows]]</f>
        <v>145</v>
      </c>
      <c r="F185" s="3">
        <v>369525</v>
      </c>
      <c r="G185" s="3">
        <v>6.54</v>
      </c>
      <c r="H185" s="4">
        <v>20733</v>
      </c>
    </row>
    <row r="186" spans="1:8" ht="15" thickBot="1" x14ac:dyDescent="0.35">
      <c r="A186" s="5" t="s">
        <v>38</v>
      </c>
      <c r="B186" s="2" t="s">
        <v>7</v>
      </c>
      <c r="C186" s="3">
        <v>961</v>
      </c>
      <c r="D186" s="3">
        <v>358</v>
      </c>
      <c r="E186" s="3">
        <f>Table4[[#This Row],[New_Followers]]-Table4[[#This Row],[Unfollows]]</f>
        <v>603</v>
      </c>
      <c r="F186" s="3">
        <v>62942</v>
      </c>
      <c r="G186" s="3">
        <v>6.8</v>
      </c>
      <c r="H186" s="4">
        <v>18693</v>
      </c>
    </row>
    <row r="187" spans="1:8" ht="15" thickBot="1" x14ac:dyDescent="0.35">
      <c r="A187" s="5" t="s">
        <v>38</v>
      </c>
      <c r="B187" s="2" t="s">
        <v>8</v>
      </c>
      <c r="C187" s="3">
        <v>1375</v>
      </c>
      <c r="D187" s="3">
        <v>330</v>
      </c>
      <c r="E187" s="3">
        <f>Table4[[#This Row],[New_Followers]]-Table4[[#This Row],[Unfollows]]</f>
        <v>1045</v>
      </c>
      <c r="F187" s="3">
        <v>377382</v>
      </c>
      <c r="G187" s="3">
        <v>2.6</v>
      </c>
      <c r="H187" s="4">
        <v>7875</v>
      </c>
    </row>
    <row r="188" spans="1:8" ht="15" thickBot="1" x14ac:dyDescent="0.35">
      <c r="A188" s="5" t="s">
        <v>38</v>
      </c>
      <c r="B188" s="2" t="s">
        <v>9</v>
      </c>
      <c r="C188" s="3">
        <v>1147</v>
      </c>
      <c r="D188" s="3">
        <v>388</v>
      </c>
      <c r="E188" s="3">
        <f>Table4[[#This Row],[New_Followers]]-Table4[[#This Row],[Unfollows]]</f>
        <v>759</v>
      </c>
      <c r="F188" s="3">
        <v>333851</v>
      </c>
      <c r="G188" s="3">
        <v>2.44</v>
      </c>
      <c r="H188" s="4">
        <v>8471</v>
      </c>
    </row>
    <row r="189" spans="1:8" ht="15" thickBot="1" x14ac:dyDescent="0.35">
      <c r="A189" s="5" t="s">
        <v>38</v>
      </c>
      <c r="B189" s="2" t="s">
        <v>10</v>
      </c>
      <c r="C189" s="3">
        <v>1707</v>
      </c>
      <c r="D189" s="3">
        <v>74</v>
      </c>
      <c r="E189" s="3">
        <f>Table4[[#This Row],[New_Followers]]-Table4[[#This Row],[Unfollows]]</f>
        <v>1633</v>
      </c>
      <c r="F189" s="3">
        <v>270958</v>
      </c>
      <c r="G189" s="3">
        <v>3.09</v>
      </c>
      <c r="H189" s="4">
        <v>14090</v>
      </c>
    </row>
    <row r="190" spans="1:8" ht="15" thickBot="1" x14ac:dyDescent="0.35">
      <c r="A190" s="5" t="s">
        <v>39</v>
      </c>
      <c r="B190" s="2" t="s">
        <v>7</v>
      </c>
      <c r="C190" s="3">
        <v>1693</v>
      </c>
      <c r="D190" s="3">
        <v>154</v>
      </c>
      <c r="E190" s="3">
        <f>Table4[[#This Row],[New_Followers]]-Table4[[#This Row],[Unfollows]]</f>
        <v>1539</v>
      </c>
      <c r="F190" s="3">
        <v>445944</v>
      </c>
      <c r="G190" s="3">
        <v>5.69</v>
      </c>
      <c r="H190" s="4">
        <v>14216</v>
      </c>
    </row>
    <row r="191" spans="1:8" ht="15" thickBot="1" x14ac:dyDescent="0.35">
      <c r="A191" s="5" t="s">
        <v>39</v>
      </c>
      <c r="B191" s="2" t="s">
        <v>8</v>
      </c>
      <c r="C191" s="3">
        <v>833</v>
      </c>
      <c r="D191" s="3">
        <v>380</v>
      </c>
      <c r="E191" s="3">
        <f>Table4[[#This Row],[New_Followers]]-Table4[[#This Row],[Unfollows]]</f>
        <v>453</v>
      </c>
      <c r="F191" s="3">
        <v>224830</v>
      </c>
      <c r="G191" s="3">
        <v>3.86</v>
      </c>
      <c r="H191" s="4">
        <v>3582</v>
      </c>
    </row>
    <row r="192" spans="1:8" ht="15" thickBot="1" x14ac:dyDescent="0.35">
      <c r="A192" s="5" t="s">
        <v>39</v>
      </c>
      <c r="B192" s="2" t="s">
        <v>9</v>
      </c>
      <c r="C192" s="3">
        <v>1222</v>
      </c>
      <c r="D192" s="3">
        <v>274</v>
      </c>
      <c r="E192" s="3">
        <f>Table4[[#This Row],[New_Followers]]-Table4[[#This Row],[Unfollows]]</f>
        <v>948</v>
      </c>
      <c r="F192" s="3">
        <v>487289</v>
      </c>
      <c r="G192" s="3">
        <v>3.16</v>
      </c>
      <c r="H192" s="4">
        <v>32500</v>
      </c>
    </row>
    <row r="193" spans="1:8" ht="15" thickBot="1" x14ac:dyDescent="0.35">
      <c r="A193" s="5" t="s">
        <v>39</v>
      </c>
      <c r="B193" s="2" t="s">
        <v>10</v>
      </c>
      <c r="C193" s="3">
        <v>777</v>
      </c>
      <c r="D193" s="3">
        <v>140</v>
      </c>
      <c r="E193" s="3">
        <f>Table4[[#This Row],[New_Followers]]-Table4[[#This Row],[Unfollows]]</f>
        <v>637</v>
      </c>
      <c r="F193" s="3">
        <v>11435</v>
      </c>
      <c r="G193" s="3">
        <v>1.6</v>
      </c>
      <c r="H193" s="4">
        <v>6832</v>
      </c>
    </row>
    <row r="194" spans="1:8" ht="15" thickBot="1" x14ac:dyDescent="0.35">
      <c r="A194" s="1">
        <v>45782</v>
      </c>
      <c r="B194" s="2" t="s">
        <v>7</v>
      </c>
      <c r="C194" s="3">
        <v>1957</v>
      </c>
      <c r="D194" s="3">
        <v>76</v>
      </c>
      <c r="E194" s="3">
        <f>Table4[[#This Row],[New_Followers]]-Table4[[#This Row],[Unfollows]]</f>
        <v>1881</v>
      </c>
      <c r="F194" s="3">
        <v>447902</v>
      </c>
      <c r="G194" s="3">
        <v>6.09</v>
      </c>
      <c r="H194" s="4">
        <v>33381</v>
      </c>
    </row>
    <row r="195" spans="1:8" ht="15" thickBot="1" x14ac:dyDescent="0.35">
      <c r="A195" s="1">
        <v>45782</v>
      </c>
      <c r="B195" s="2" t="s">
        <v>8</v>
      </c>
      <c r="C195" s="3">
        <v>405</v>
      </c>
      <c r="D195" s="3">
        <v>66</v>
      </c>
      <c r="E195" s="3">
        <f>Table4[[#This Row],[New_Followers]]-Table4[[#This Row],[Unfollows]]</f>
        <v>339</v>
      </c>
      <c r="F195" s="3">
        <v>418696</v>
      </c>
      <c r="G195" s="3">
        <v>5.59</v>
      </c>
      <c r="H195" s="4">
        <v>48419</v>
      </c>
    </row>
    <row r="196" spans="1:8" ht="15" thickBot="1" x14ac:dyDescent="0.35">
      <c r="A196" s="1">
        <v>45782</v>
      </c>
      <c r="B196" s="2" t="s">
        <v>9</v>
      </c>
      <c r="C196" s="3">
        <v>1581</v>
      </c>
      <c r="D196" s="3">
        <v>71</v>
      </c>
      <c r="E196" s="3">
        <f>Table4[[#This Row],[New_Followers]]-Table4[[#This Row],[Unfollows]]</f>
        <v>1510</v>
      </c>
      <c r="F196" s="3">
        <v>484364</v>
      </c>
      <c r="G196" s="3">
        <v>3.55</v>
      </c>
      <c r="H196" s="4">
        <v>16149</v>
      </c>
    </row>
    <row r="197" spans="1:8" ht="15" thickBot="1" x14ac:dyDescent="0.35">
      <c r="A197" s="1">
        <v>45782</v>
      </c>
      <c r="B197" s="2" t="s">
        <v>10</v>
      </c>
      <c r="C197" s="3">
        <v>1035</v>
      </c>
      <c r="D197" s="3">
        <v>171</v>
      </c>
      <c r="E197" s="3">
        <f>Table4[[#This Row],[New_Followers]]-Table4[[#This Row],[Unfollows]]</f>
        <v>864</v>
      </c>
      <c r="F197" s="3">
        <v>148477</v>
      </c>
      <c r="G197" s="3">
        <v>5.21</v>
      </c>
      <c r="H197" s="4">
        <v>7541</v>
      </c>
    </row>
    <row r="198" spans="1:8" ht="15" thickBot="1" x14ac:dyDescent="0.35">
      <c r="A198" s="1">
        <v>45996</v>
      </c>
      <c r="B198" s="2" t="s">
        <v>7</v>
      </c>
      <c r="C198" s="3">
        <v>1765</v>
      </c>
      <c r="D198" s="3">
        <v>109</v>
      </c>
      <c r="E198" s="3">
        <f>Table4[[#This Row],[New_Followers]]-Table4[[#This Row],[Unfollows]]</f>
        <v>1656</v>
      </c>
      <c r="F198" s="3">
        <v>468301</v>
      </c>
      <c r="G198" s="3">
        <v>1.82</v>
      </c>
      <c r="H198" s="4">
        <v>20042</v>
      </c>
    </row>
    <row r="199" spans="1:8" ht="15" thickBot="1" x14ac:dyDescent="0.35">
      <c r="A199" s="1">
        <v>45996</v>
      </c>
      <c r="B199" s="2" t="s">
        <v>8</v>
      </c>
      <c r="C199" s="3">
        <v>837</v>
      </c>
      <c r="D199" s="3">
        <v>430</v>
      </c>
      <c r="E199" s="3">
        <f>Table4[[#This Row],[New_Followers]]-Table4[[#This Row],[Unfollows]]</f>
        <v>407</v>
      </c>
      <c r="F199" s="3">
        <v>364820</v>
      </c>
      <c r="G199" s="3">
        <v>4</v>
      </c>
      <c r="H199" s="4">
        <v>49400</v>
      </c>
    </row>
    <row r="200" spans="1:8" ht="15" thickBot="1" x14ac:dyDescent="0.35">
      <c r="A200" s="1">
        <v>45996</v>
      </c>
      <c r="B200" s="2" t="s">
        <v>9</v>
      </c>
      <c r="C200" s="3">
        <v>337</v>
      </c>
      <c r="D200" s="3">
        <v>68</v>
      </c>
      <c r="E200" s="3">
        <f>Table4[[#This Row],[New_Followers]]-Table4[[#This Row],[Unfollows]]</f>
        <v>269</v>
      </c>
      <c r="F200" s="3">
        <v>456298</v>
      </c>
      <c r="G200" s="3">
        <v>7.57</v>
      </c>
      <c r="H200" s="4">
        <v>4007</v>
      </c>
    </row>
    <row r="201" spans="1:8" x14ac:dyDescent="0.3">
      <c r="A201" s="6">
        <v>45996</v>
      </c>
      <c r="B201" s="7" t="s">
        <v>10</v>
      </c>
      <c r="C201" s="8">
        <v>119</v>
      </c>
      <c r="D201" s="8">
        <v>456</v>
      </c>
      <c r="E201" s="8">
        <f>Table4[[#This Row],[New_Followers]]-Table4[[#This Row],[Unfollows]]</f>
        <v>-337</v>
      </c>
      <c r="F201" s="8">
        <v>82558</v>
      </c>
      <c r="G201" s="8">
        <v>6.81</v>
      </c>
      <c r="H201" s="9">
        <v>12174</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A02A-B583-4AAB-A761-E24EBC0A1B67}">
  <dimension ref="A1:K55"/>
  <sheetViews>
    <sheetView workbookViewId="0">
      <selection activeCell="R2" sqref="R2"/>
    </sheetView>
  </sheetViews>
  <sheetFormatPr defaultRowHeight="14.4" x14ac:dyDescent="0.3"/>
  <cols>
    <col min="1" max="1" width="19.33203125" bestFit="1" customWidth="1"/>
    <col min="2" max="2" width="15.5546875" bestFit="1" customWidth="1"/>
    <col min="3" max="3" width="9.44140625" bestFit="1" customWidth="1"/>
    <col min="4" max="4" width="6.88671875" bestFit="1" customWidth="1"/>
    <col min="5" max="5" width="8.44140625" bestFit="1" customWidth="1"/>
    <col min="6" max="6" width="10.77734375" bestFit="1" customWidth="1"/>
  </cols>
  <sheetData>
    <row r="1" spans="1:11" ht="25.8" x14ac:dyDescent="0.5">
      <c r="E1" s="22" t="s">
        <v>45</v>
      </c>
      <c r="F1" s="22"/>
      <c r="G1" s="22"/>
      <c r="H1" s="22"/>
      <c r="I1" s="22"/>
      <c r="J1" s="22"/>
      <c r="K1" s="22"/>
    </row>
    <row r="3" spans="1:11" x14ac:dyDescent="0.3">
      <c r="A3" s="13" t="s">
        <v>43</v>
      </c>
      <c r="B3" s="13" t="s">
        <v>42</v>
      </c>
    </row>
    <row r="4" spans="1:11" x14ac:dyDescent="0.3">
      <c r="A4" s="13" t="s">
        <v>40</v>
      </c>
      <c r="B4" t="s">
        <v>8</v>
      </c>
      <c r="C4" t="s">
        <v>7</v>
      </c>
      <c r="D4" t="s">
        <v>9</v>
      </c>
      <c r="E4" t="s">
        <v>10</v>
      </c>
      <c r="F4" t="s">
        <v>41</v>
      </c>
    </row>
    <row r="5" spans="1:11" x14ac:dyDescent="0.3">
      <c r="A5" s="14" t="s">
        <v>29</v>
      </c>
      <c r="B5">
        <v>298</v>
      </c>
      <c r="C5">
        <v>1722</v>
      </c>
      <c r="D5">
        <v>-144</v>
      </c>
      <c r="E5">
        <v>901</v>
      </c>
      <c r="F5">
        <v>2777</v>
      </c>
    </row>
    <row r="6" spans="1:11" x14ac:dyDescent="0.3">
      <c r="A6" s="14" t="s">
        <v>30</v>
      </c>
      <c r="B6">
        <v>427</v>
      </c>
      <c r="C6">
        <v>1572</v>
      </c>
      <c r="D6">
        <v>891</v>
      </c>
      <c r="E6">
        <v>724</v>
      </c>
      <c r="F6">
        <v>3614</v>
      </c>
    </row>
    <row r="7" spans="1:11" x14ac:dyDescent="0.3">
      <c r="A7" s="14" t="s">
        <v>31</v>
      </c>
      <c r="B7">
        <v>898</v>
      </c>
      <c r="C7">
        <v>-166</v>
      </c>
      <c r="D7">
        <v>1426</v>
      </c>
      <c r="E7">
        <v>1225</v>
      </c>
      <c r="F7">
        <v>3383</v>
      </c>
    </row>
    <row r="8" spans="1:11" x14ac:dyDescent="0.3">
      <c r="A8" s="14" t="s">
        <v>21</v>
      </c>
      <c r="B8">
        <v>285</v>
      </c>
      <c r="C8">
        <v>1224</v>
      </c>
      <c r="D8">
        <v>-20</v>
      </c>
      <c r="E8">
        <v>367</v>
      </c>
      <c r="F8">
        <v>1856</v>
      </c>
    </row>
    <row r="9" spans="1:11" x14ac:dyDescent="0.3">
      <c r="A9" s="14" t="s">
        <v>22</v>
      </c>
      <c r="B9">
        <v>439</v>
      </c>
      <c r="C9">
        <v>262</v>
      </c>
      <c r="D9">
        <v>636</v>
      </c>
      <c r="E9">
        <v>1484</v>
      </c>
      <c r="F9">
        <v>2821</v>
      </c>
    </row>
    <row r="10" spans="1:11" x14ac:dyDescent="0.3">
      <c r="A10" s="14" t="s">
        <v>23</v>
      </c>
      <c r="B10">
        <v>386</v>
      </c>
      <c r="C10">
        <v>576</v>
      </c>
      <c r="D10">
        <v>37</v>
      </c>
      <c r="E10">
        <v>1657</v>
      </c>
      <c r="F10">
        <v>2656</v>
      </c>
    </row>
    <row r="11" spans="1:11" x14ac:dyDescent="0.3">
      <c r="A11" s="14" t="s">
        <v>24</v>
      </c>
      <c r="B11">
        <v>72</v>
      </c>
      <c r="C11">
        <v>-49</v>
      </c>
      <c r="D11">
        <v>445</v>
      </c>
      <c r="E11">
        <v>60</v>
      </c>
      <c r="F11">
        <v>528</v>
      </c>
    </row>
    <row r="12" spans="1:11" x14ac:dyDescent="0.3">
      <c r="A12" s="14" t="s">
        <v>25</v>
      </c>
      <c r="B12">
        <v>1332</v>
      </c>
      <c r="C12">
        <v>1693</v>
      </c>
      <c r="D12">
        <v>98</v>
      </c>
      <c r="E12">
        <v>885</v>
      </c>
      <c r="F12">
        <v>4008</v>
      </c>
    </row>
    <row r="13" spans="1:11" x14ac:dyDescent="0.3">
      <c r="A13" s="14" t="s">
        <v>26</v>
      </c>
      <c r="B13">
        <v>1377</v>
      </c>
      <c r="C13">
        <v>1432</v>
      </c>
      <c r="D13">
        <v>1359</v>
      </c>
      <c r="E13">
        <v>876</v>
      </c>
      <c r="F13">
        <v>5044</v>
      </c>
    </row>
    <row r="14" spans="1:11" x14ac:dyDescent="0.3">
      <c r="A14" s="14" t="s">
        <v>27</v>
      </c>
      <c r="B14">
        <v>730</v>
      </c>
      <c r="C14">
        <v>684</v>
      </c>
      <c r="D14">
        <v>911</v>
      </c>
      <c r="E14">
        <v>1589</v>
      </c>
      <c r="F14">
        <v>3914</v>
      </c>
    </row>
    <row r="15" spans="1:11" x14ac:dyDescent="0.3">
      <c r="A15" s="14" t="s">
        <v>28</v>
      </c>
      <c r="B15">
        <v>1776</v>
      </c>
      <c r="C15">
        <v>1765</v>
      </c>
      <c r="D15">
        <v>1529</v>
      </c>
      <c r="E15">
        <v>1460</v>
      </c>
      <c r="F15">
        <v>6530</v>
      </c>
    </row>
    <row r="16" spans="1:11" x14ac:dyDescent="0.3">
      <c r="A16" s="14" t="s">
        <v>32</v>
      </c>
      <c r="B16">
        <v>1590</v>
      </c>
      <c r="C16">
        <v>965</v>
      </c>
      <c r="D16">
        <v>-37</v>
      </c>
      <c r="E16">
        <v>1175</v>
      </c>
      <c r="F16">
        <v>3693</v>
      </c>
    </row>
    <row r="17" spans="1:6" x14ac:dyDescent="0.3">
      <c r="A17" s="14" t="s">
        <v>33</v>
      </c>
      <c r="B17">
        <v>1707</v>
      </c>
      <c r="C17">
        <v>1375</v>
      </c>
      <c r="D17">
        <v>708</v>
      </c>
      <c r="E17">
        <v>1016</v>
      </c>
      <c r="F17">
        <v>4806</v>
      </c>
    </row>
    <row r="18" spans="1:6" x14ac:dyDescent="0.3">
      <c r="A18" s="14" t="s">
        <v>34</v>
      </c>
      <c r="B18">
        <v>1116</v>
      </c>
      <c r="C18">
        <v>680</v>
      </c>
      <c r="D18">
        <v>861</v>
      </c>
      <c r="E18">
        <v>1385</v>
      </c>
      <c r="F18">
        <v>4042</v>
      </c>
    </row>
    <row r="19" spans="1:6" x14ac:dyDescent="0.3">
      <c r="A19" s="14" t="s">
        <v>35</v>
      </c>
      <c r="B19">
        <v>474</v>
      </c>
      <c r="C19">
        <v>461</v>
      </c>
      <c r="D19">
        <v>292</v>
      </c>
      <c r="E19">
        <v>389</v>
      </c>
      <c r="F19">
        <v>1616</v>
      </c>
    </row>
    <row r="20" spans="1:6" x14ac:dyDescent="0.3">
      <c r="A20" s="14" t="s">
        <v>36</v>
      </c>
      <c r="B20">
        <v>514</v>
      </c>
      <c r="C20">
        <v>641</v>
      </c>
      <c r="D20">
        <v>1676</v>
      </c>
      <c r="E20">
        <v>1467</v>
      </c>
      <c r="F20">
        <v>4298</v>
      </c>
    </row>
    <row r="21" spans="1:6" x14ac:dyDescent="0.3">
      <c r="A21" s="14" t="s">
        <v>37</v>
      </c>
      <c r="B21">
        <v>-175</v>
      </c>
      <c r="C21">
        <v>-160</v>
      </c>
      <c r="D21">
        <v>53</v>
      </c>
      <c r="E21">
        <v>145</v>
      </c>
      <c r="F21">
        <v>-137</v>
      </c>
    </row>
    <row r="22" spans="1:6" x14ac:dyDescent="0.3">
      <c r="A22" s="14" t="s">
        <v>38</v>
      </c>
      <c r="B22">
        <v>1045</v>
      </c>
      <c r="C22">
        <v>603</v>
      </c>
      <c r="D22">
        <v>759</v>
      </c>
      <c r="E22">
        <v>1633</v>
      </c>
      <c r="F22">
        <v>4040</v>
      </c>
    </row>
    <row r="23" spans="1:6" x14ac:dyDescent="0.3">
      <c r="A23" s="14" t="s">
        <v>39</v>
      </c>
      <c r="B23">
        <v>453</v>
      </c>
      <c r="C23">
        <v>1539</v>
      </c>
      <c r="D23">
        <v>948</v>
      </c>
      <c r="E23">
        <v>637</v>
      </c>
      <c r="F23">
        <v>3577</v>
      </c>
    </row>
    <row r="24" spans="1:6" x14ac:dyDescent="0.3">
      <c r="A24" s="14" t="s">
        <v>11</v>
      </c>
      <c r="B24">
        <v>1382</v>
      </c>
      <c r="C24">
        <v>893</v>
      </c>
      <c r="D24">
        <v>1295</v>
      </c>
      <c r="E24">
        <v>337</v>
      </c>
      <c r="F24">
        <v>3907</v>
      </c>
    </row>
    <row r="25" spans="1:6" x14ac:dyDescent="0.3">
      <c r="A25" s="14" t="s">
        <v>12</v>
      </c>
      <c r="B25">
        <v>1670</v>
      </c>
      <c r="C25">
        <v>629</v>
      </c>
      <c r="D25">
        <v>835</v>
      </c>
      <c r="E25">
        <v>-123</v>
      </c>
      <c r="F25">
        <v>3011</v>
      </c>
    </row>
    <row r="26" spans="1:6" x14ac:dyDescent="0.3">
      <c r="A26" s="14" t="s">
        <v>13</v>
      </c>
      <c r="B26">
        <v>-164</v>
      </c>
      <c r="C26">
        <v>1845</v>
      </c>
      <c r="D26">
        <v>429</v>
      </c>
      <c r="E26">
        <v>160</v>
      </c>
      <c r="F26">
        <v>2270</v>
      </c>
    </row>
    <row r="27" spans="1:6" x14ac:dyDescent="0.3">
      <c r="A27" s="14" t="s">
        <v>14</v>
      </c>
      <c r="B27">
        <v>961</v>
      </c>
      <c r="C27">
        <v>159</v>
      </c>
      <c r="D27">
        <v>1316</v>
      </c>
      <c r="E27">
        <v>317</v>
      </c>
      <c r="F27">
        <v>2753</v>
      </c>
    </row>
    <row r="28" spans="1:6" x14ac:dyDescent="0.3">
      <c r="A28" s="14" t="s">
        <v>15</v>
      </c>
      <c r="B28">
        <v>-318</v>
      </c>
      <c r="C28">
        <v>541</v>
      </c>
      <c r="D28">
        <v>1495</v>
      </c>
      <c r="E28">
        <v>475</v>
      </c>
      <c r="F28">
        <v>2193</v>
      </c>
    </row>
    <row r="29" spans="1:6" x14ac:dyDescent="0.3">
      <c r="A29" s="14" t="s">
        <v>16</v>
      </c>
      <c r="B29">
        <v>1058</v>
      </c>
      <c r="C29">
        <v>76</v>
      </c>
      <c r="D29">
        <v>1665</v>
      </c>
      <c r="E29">
        <v>190</v>
      </c>
      <c r="F29">
        <v>2989</v>
      </c>
    </row>
    <row r="30" spans="1:6" x14ac:dyDescent="0.3">
      <c r="A30" s="14" t="s">
        <v>17</v>
      </c>
      <c r="B30">
        <v>37</v>
      </c>
      <c r="C30">
        <v>1609</v>
      </c>
      <c r="D30">
        <v>1229</v>
      </c>
      <c r="E30">
        <v>28</v>
      </c>
      <c r="F30">
        <v>2903</v>
      </c>
    </row>
    <row r="31" spans="1:6" x14ac:dyDescent="0.3">
      <c r="A31" s="14" t="s">
        <v>18</v>
      </c>
      <c r="B31">
        <v>98</v>
      </c>
      <c r="C31">
        <v>377</v>
      </c>
      <c r="D31">
        <v>1125</v>
      </c>
      <c r="E31">
        <v>-32</v>
      </c>
      <c r="F31">
        <v>1568</v>
      </c>
    </row>
    <row r="32" spans="1:6" x14ac:dyDescent="0.3">
      <c r="A32" s="14" t="s">
        <v>19</v>
      </c>
      <c r="B32">
        <v>-19</v>
      </c>
      <c r="C32">
        <v>666</v>
      </c>
      <c r="D32">
        <v>1680</v>
      </c>
      <c r="E32">
        <v>1006</v>
      </c>
      <c r="F32">
        <v>3333</v>
      </c>
    </row>
    <row r="33" spans="1:6" x14ac:dyDescent="0.3">
      <c r="A33" s="14" t="s">
        <v>20</v>
      </c>
      <c r="B33">
        <v>-179</v>
      </c>
      <c r="C33">
        <v>1025</v>
      </c>
      <c r="D33">
        <v>599</v>
      </c>
      <c r="E33">
        <v>1706</v>
      </c>
      <c r="F33">
        <v>3151</v>
      </c>
    </row>
    <row r="34" spans="1:6" x14ac:dyDescent="0.3">
      <c r="A34" s="15">
        <v>45298</v>
      </c>
      <c r="B34">
        <v>64</v>
      </c>
      <c r="C34">
        <v>-219</v>
      </c>
      <c r="D34">
        <v>1357</v>
      </c>
      <c r="E34">
        <v>91</v>
      </c>
      <c r="F34">
        <v>1293</v>
      </c>
    </row>
    <row r="35" spans="1:6" x14ac:dyDescent="0.3">
      <c r="A35" s="15">
        <v>45331</v>
      </c>
      <c r="B35">
        <v>1045</v>
      </c>
      <c r="C35">
        <v>1247</v>
      </c>
      <c r="D35">
        <v>197</v>
      </c>
      <c r="E35">
        <v>333</v>
      </c>
      <c r="F35">
        <v>2822</v>
      </c>
    </row>
    <row r="36" spans="1:6" x14ac:dyDescent="0.3">
      <c r="A36" s="15">
        <v>45334</v>
      </c>
      <c r="B36">
        <v>1706</v>
      </c>
      <c r="C36">
        <v>1625</v>
      </c>
      <c r="D36">
        <v>1173</v>
      </c>
      <c r="E36">
        <v>291</v>
      </c>
      <c r="F36">
        <v>4795</v>
      </c>
    </row>
    <row r="37" spans="1:6" x14ac:dyDescent="0.3">
      <c r="A37" s="15">
        <v>45357</v>
      </c>
      <c r="B37">
        <v>1002</v>
      </c>
      <c r="C37">
        <v>1047</v>
      </c>
      <c r="D37">
        <v>415</v>
      </c>
      <c r="E37">
        <v>1090</v>
      </c>
      <c r="F37">
        <v>3554</v>
      </c>
    </row>
    <row r="38" spans="1:6" x14ac:dyDescent="0.3">
      <c r="A38" s="15">
        <v>45393</v>
      </c>
      <c r="B38">
        <v>540</v>
      </c>
      <c r="C38">
        <v>1397</v>
      </c>
      <c r="D38">
        <v>1603</v>
      </c>
      <c r="E38">
        <v>1044</v>
      </c>
      <c r="F38">
        <v>4584</v>
      </c>
    </row>
    <row r="39" spans="1:6" x14ac:dyDescent="0.3">
      <c r="A39" s="15">
        <v>45420</v>
      </c>
      <c r="B39">
        <v>-197</v>
      </c>
      <c r="C39">
        <v>352</v>
      </c>
      <c r="D39">
        <v>328</v>
      </c>
      <c r="E39">
        <v>319</v>
      </c>
      <c r="F39">
        <v>802</v>
      </c>
    </row>
    <row r="40" spans="1:6" x14ac:dyDescent="0.3">
      <c r="A40" s="15">
        <v>45483</v>
      </c>
      <c r="B40">
        <v>1662</v>
      </c>
      <c r="C40">
        <v>1872</v>
      </c>
      <c r="D40">
        <v>107</v>
      </c>
      <c r="E40">
        <v>118</v>
      </c>
      <c r="F40">
        <v>3759</v>
      </c>
    </row>
    <row r="41" spans="1:6" x14ac:dyDescent="0.3">
      <c r="A41" s="15">
        <v>45511</v>
      </c>
      <c r="B41">
        <v>309</v>
      </c>
      <c r="C41">
        <v>1672</v>
      </c>
      <c r="D41">
        <v>547</v>
      </c>
      <c r="E41">
        <v>514</v>
      </c>
      <c r="F41">
        <v>3042</v>
      </c>
    </row>
    <row r="42" spans="1:6" x14ac:dyDescent="0.3">
      <c r="A42" s="15">
        <v>45544</v>
      </c>
      <c r="B42">
        <v>1428</v>
      </c>
      <c r="C42">
        <v>1572</v>
      </c>
      <c r="D42">
        <v>260</v>
      </c>
      <c r="E42">
        <v>1100</v>
      </c>
      <c r="F42">
        <v>4360</v>
      </c>
    </row>
    <row r="43" spans="1:6" x14ac:dyDescent="0.3">
      <c r="A43" s="15">
        <v>45547</v>
      </c>
      <c r="B43">
        <v>1373</v>
      </c>
      <c r="C43">
        <v>1119</v>
      </c>
      <c r="D43">
        <v>1727</v>
      </c>
      <c r="E43">
        <v>573</v>
      </c>
      <c r="F43">
        <v>4792</v>
      </c>
    </row>
    <row r="44" spans="1:6" x14ac:dyDescent="0.3">
      <c r="A44" s="15">
        <v>45571</v>
      </c>
      <c r="B44">
        <v>1283</v>
      </c>
      <c r="C44">
        <v>517</v>
      </c>
      <c r="D44">
        <v>186</v>
      </c>
      <c r="E44">
        <v>994</v>
      </c>
      <c r="F44">
        <v>2980</v>
      </c>
    </row>
    <row r="45" spans="1:6" x14ac:dyDescent="0.3">
      <c r="A45" s="15">
        <v>45607</v>
      </c>
      <c r="B45">
        <v>-106</v>
      </c>
      <c r="C45">
        <v>902</v>
      </c>
      <c r="D45">
        <v>1150</v>
      </c>
      <c r="E45">
        <v>349</v>
      </c>
      <c r="F45">
        <v>2295</v>
      </c>
    </row>
    <row r="46" spans="1:6" x14ac:dyDescent="0.3">
      <c r="A46" s="15">
        <v>45634</v>
      </c>
      <c r="B46">
        <v>1334</v>
      </c>
      <c r="C46">
        <v>1325</v>
      </c>
      <c r="D46">
        <v>37</v>
      </c>
      <c r="E46">
        <v>1032</v>
      </c>
      <c r="F46">
        <v>3728</v>
      </c>
    </row>
    <row r="47" spans="1:6" x14ac:dyDescent="0.3">
      <c r="A47" s="15">
        <v>45718</v>
      </c>
      <c r="B47">
        <v>748</v>
      </c>
      <c r="C47">
        <v>1080</v>
      </c>
      <c r="D47">
        <v>569</v>
      </c>
      <c r="E47">
        <v>-203</v>
      </c>
      <c r="F47">
        <v>2194</v>
      </c>
    </row>
    <row r="48" spans="1:6" x14ac:dyDescent="0.3">
      <c r="A48" s="15">
        <v>45719</v>
      </c>
      <c r="B48">
        <v>-119</v>
      </c>
      <c r="C48">
        <v>1315</v>
      </c>
      <c r="D48">
        <v>899</v>
      </c>
      <c r="E48">
        <v>315</v>
      </c>
      <c r="F48">
        <v>2410</v>
      </c>
    </row>
    <row r="49" spans="1:6" x14ac:dyDescent="0.3">
      <c r="A49" s="15">
        <v>45782</v>
      </c>
      <c r="B49">
        <v>339</v>
      </c>
      <c r="C49">
        <v>1881</v>
      </c>
      <c r="D49">
        <v>1510</v>
      </c>
      <c r="E49">
        <v>864</v>
      </c>
      <c r="F49">
        <v>4594</v>
      </c>
    </row>
    <row r="50" spans="1:6" x14ac:dyDescent="0.3">
      <c r="A50" s="15">
        <v>45809</v>
      </c>
      <c r="B50">
        <v>620</v>
      </c>
      <c r="C50">
        <v>903</v>
      </c>
      <c r="D50">
        <v>1188</v>
      </c>
      <c r="E50">
        <v>846</v>
      </c>
      <c r="F50">
        <v>3557</v>
      </c>
    </row>
    <row r="51" spans="1:6" x14ac:dyDescent="0.3">
      <c r="A51" s="15">
        <v>45842</v>
      </c>
      <c r="B51">
        <v>1029</v>
      </c>
      <c r="C51">
        <v>167</v>
      </c>
      <c r="D51">
        <v>1007</v>
      </c>
      <c r="E51">
        <v>209</v>
      </c>
      <c r="F51">
        <v>2412</v>
      </c>
    </row>
    <row r="52" spans="1:6" x14ac:dyDescent="0.3">
      <c r="A52" s="15">
        <v>45932</v>
      </c>
      <c r="B52">
        <v>912</v>
      </c>
      <c r="C52">
        <v>1723</v>
      </c>
      <c r="D52">
        <v>1202</v>
      </c>
      <c r="E52">
        <v>1444</v>
      </c>
      <c r="F52">
        <v>5281</v>
      </c>
    </row>
    <row r="53" spans="1:6" x14ac:dyDescent="0.3">
      <c r="A53" s="15">
        <v>45933</v>
      </c>
      <c r="B53">
        <v>908</v>
      </c>
      <c r="C53">
        <v>212</v>
      </c>
      <c r="D53">
        <v>1350</v>
      </c>
      <c r="E53">
        <v>1242</v>
      </c>
      <c r="F53">
        <v>3712</v>
      </c>
    </row>
    <row r="54" spans="1:6" x14ac:dyDescent="0.3">
      <c r="A54" s="15">
        <v>45996</v>
      </c>
      <c r="B54">
        <v>407</v>
      </c>
      <c r="C54">
        <v>1656</v>
      </c>
      <c r="D54">
        <v>269</v>
      </c>
      <c r="E54">
        <v>-337</v>
      </c>
      <c r="F54">
        <v>1995</v>
      </c>
    </row>
    <row r="55" spans="1:6" x14ac:dyDescent="0.3">
      <c r="A55" s="14" t="s">
        <v>41</v>
      </c>
      <c r="B55">
        <v>35557</v>
      </c>
      <c r="C55">
        <v>48004</v>
      </c>
      <c r="D55">
        <v>41177</v>
      </c>
      <c r="E55">
        <v>35367</v>
      </c>
      <c r="F55">
        <v>160105</v>
      </c>
    </row>
  </sheetData>
  <mergeCells count="1">
    <mergeCell ref="E1:K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1DC4-E6D0-4ECD-A130-1E8D278D5F3A}">
  <dimension ref="A1:L56"/>
  <sheetViews>
    <sheetView workbookViewId="0">
      <selection activeCell="A14" sqref="A14"/>
    </sheetView>
  </sheetViews>
  <sheetFormatPr defaultRowHeight="14.4" x14ac:dyDescent="0.3"/>
  <cols>
    <col min="1" max="1" width="19.33203125" bestFit="1" customWidth="1"/>
    <col min="2" max="2" width="15.5546875" bestFit="1" customWidth="1"/>
    <col min="3" max="3" width="9.44140625" bestFit="1" customWidth="1"/>
    <col min="4" max="4" width="6.88671875" bestFit="1" customWidth="1"/>
    <col min="5" max="5" width="8.44140625" bestFit="1" customWidth="1"/>
    <col min="6" max="6" width="10.77734375" bestFit="1" customWidth="1"/>
    <col min="7" max="7" width="10.77734375" customWidth="1"/>
    <col min="8" max="8" width="10.5546875" bestFit="1" customWidth="1"/>
    <col min="9" max="9" width="10.77734375" bestFit="1" customWidth="1"/>
    <col min="10" max="10" width="11.88671875" bestFit="1" customWidth="1"/>
    <col min="13" max="13" width="10.77734375" bestFit="1" customWidth="1"/>
  </cols>
  <sheetData>
    <row r="1" spans="1:12" ht="25.8" x14ac:dyDescent="0.5">
      <c r="F1" s="23" t="s">
        <v>50</v>
      </c>
      <c r="G1" s="23"/>
      <c r="H1" s="23"/>
      <c r="I1" s="23"/>
      <c r="J1" s="23"/>
      <c r="K1" s="23"/>
      <c r="L1" s="23"/>
    </row>
    <row r="4" spans="1:12" x14ac:dyDescent="0.3">
      <c r="A4" s="13" t="s">
        <v>43</v>
      </c>
      <c r="B4" s="13" t="s">
        <v>42</v>
      </c>
      <c r="H4" s="19" t="s">
        <v>48</v>
      </c>
      <c r="I4" s="19" t="s">
        <v>1</v>
      </c>
      <c r="J4" s="19" t="s">
        <v>49</v>
      </c>
    </row>
    <row r="5" spans="1:12" x14ac:dyDescent="0.3">
      <c r="A5" s="13" t="s">
        <v>40</v>
      </c>
      <c r="B5" t="s">
        <v>8</v>
      </c>
      <c r="C5" t="s">
        <v>7</v>
      </c>
      <c r="D5" t="s">
        <v>9</v>
      </c>
      <c r="E5" t="s">
        <v>10</v>
      </c>
      <c r="F5" t="s">
        <v>41</v>
      </c>
      <c r="H5" s="20" t="s">
        <v>46</v>
      </c>
      <c r="I5" s="18" t="s">
        <v>8</v>
      </c>
      <c r="J5" s="19">
        <f>MAX(B6:B55)</f>
        <v>1776</v>
      </c>
    </row>
    <row r="6" spans="1:12" x14ac:dyDescent="0.3">
      <c r="A6" s="14" t="s">
        <v>29</v>
      </c>
      <c r="B6">
        <v>298</v>
      </c>
      <c r="C6">
        <v>1722</v>
      </c>
      <c r="D6">
        <v>-144</v>
      </c>
      <c r="E6">
        <v>901</v>
      </c>
      <c r="F6">
        <v>2777</v>
      </c>
      <c r="H6" s="21">
        <v>45782</v>
      </c>
      <c r="I6" s="18" t="s">
        <v>7</v>
      </c>
      <c r="J6" s="19">
        <f>MAX(C6:C55)</f>
        <v>1881</v>
      </c>
    </row>
    <row r="7" spans="1:12" x14ac:dyDescent="0.3">
      <c r="A7" s="14" t="s">
        <v>30</v>
      </c>
      <c r="B7">
        <v>427</v>
      </c>
      <c r="C7">
        <v>1572</v>
      </c>
      <c r="D7">
        <v>891</v>
      </c>
      <c r="E7">
        <v>724</v>
      </c>
      <c r="F7">
        <v>3614</v>
      </c>
      <c r="H7" s="21">
        <v>45547</v>
      </c>
      <c r="I7" s="18" t="s">
        <v>9</v>
      </c>
      <c r="J7" s="19">
        <f>MAX(D6:D55)</f>
        <v>1727</v>
      </c>
    </row>
    <row r="8" spans="1:12" x14ac:dyDescent="0.3">
      <c r="A8" s="14" t="s">
        <v>31</v>
      </c>
      <c r="B8">
        <v>898</v>
      </c>
      <c r="C8">
        <v>-166</v>
      </c>
      <c r="D8">
        <v>1426</v>
      </c>
      <c r="E8">
        <v>1225</v>
      </c>
      <c r="F8">
        <v>3383</v>
      </c>
      <c r="H8" s="20" t="s">
        <v>47</v>
      </c>
      <c r="I8" s="18" t="s">
        <v>10</v>
      </c>
      <c r="J8" s="19">
        <f>MAX(E6:E55)</f>
        <v>1706</v>
      </c>
    </row>
    <row r="9" spans="1:12" x14ac:dyDescent="0.3">
      <c r="A9" s="14" t="s">
        <v>21</v>
      </c>
      <c r="B9">
        <v>285</v>
      </c>
      <c r="C9">
        <v>1224</v>
      </c>
      <c r="D9">
        <v>-20</v>
      </c>
      <c r="E9">
        <v>367</v>
      </c>
      <c r="F9">
        <v>1856</v>
      </c>
      <c r="H9" s="19"/>
      <c r="I9" s="18" t="s">
        <v>41</v>
      </c>
      <c r="J9" s="19">
        <f>SUM(J5:J8)</f>
        <v>7090</v>
      </c>
    </row>
    <row r="10" spans="1:12" x14ac:dyDescent="0.3">
      <c r="A10" s="14" t="s">
        <v>22</v>
      </c>
      <c r="B10">
        <v>439</v>
      </c>
      <c r="C10">
        <v>262</v>
      </c>
      <c r="D10">
        <v>636</v>
      </c>
      <c r="E10">
        <v>1484</v>
      </c>
      <c r="F10">
        <v>2821</v>
      </c>
    </row>
    <row r="11" spans="1:12" x14ac:dyDescent="0.3">
      <c r="A11" s="14" t="s">
        <v>23</v>
      </c>
      <c r="B11">
        <v>386</v>
      </c>
      <c r="C11">
        <v>576</v>
      </c>
      <c r="D11">
        <v>37</v>
      </c>
      <c r="E11">
        <v>1657</v>
      </c>
      <c r="F11">
        <v>2656</v>
      </c>
    </row>
    <row r="12" spans="1:12" x14ac:dyDescent="0.3">
      <c r="A12" s="14" t="s">
        <v>24</v>
      </c>
      <c r="B12">
        <v>72</v>
      </c>
      <c r="C12">
        <v>-49</v>
      </c>
      <c r="D12">
        <v>445</v>
      </c>
      <c r="E12">
        <v>60</v>
      </c>
      <c r="F12">
        <v>528</v>
      </c>
    </row>
    <row r="13" spans="1:12" x14ac:dyDescent="0.3">
      <c r="A13" s="14" t="s">
        <v>25</v>
      </c>
      <c r="B13">
        <v>1332</v>
      </c>
      <c r="C13">
        <v>1693</v>
      </c>
      <c r="D13">
        <v>98</v>
      </c>
      <c r="E13">
        <v>885</v>
      </c>
      <c r="F13">
        <v>4008</v>
      </c>
    </row>
    <row r="14" spans="1:12" x14ac:dyDescent="0.3">
      <c r="A14" s="14" t="s">
        <v>26</v>
      </c>
      <c r="B14">
        <v>1377</v>
      </c>
      <c r="C14">
        <v>1432</v>
      </c>
      <c r="D14">
        <v>1359</v>
      </c>
      <c r="E14">
        <v>876</v>
      </c>
      <c r="F14">
        <v>5044</v>
      </c>
    </row>
    <row r="15" spans="1:12" x14ac:dyDescent="0.3">
      <c r="A15" s="14" t="s">
        <v>27</v>
      </c>
      <c r="B15">
        <v>730</v>
      </c>
      <c r="C15">
        <v>684</v>
      </c>
      <c r="D15">
        <v>911</v>
      </c>
      <c r="E15">
        <v>1589</v>
      </c>
      <c r="F15">
        <v>3914</v>
      </c>
    </row>
    <row r="16" spans="1:12" x14ac:dyDescent="0.3">
      <c r="A16" s="14" t="s">
        <v>28</v>
      </c>
      <c r="B16" s="17">
        <v>1776</v>
      </c>
      <c r="C16">
        <v>1765</v>
      </c>
      <c r="D16">
        <v>1529</v>
      </c>
      <c r="E16">
        <v>1460</v>
      </c>
      <c r="F16">
        <v>6530</v>
      </c>
    </row>
    <row r="17" spans="1:6" x14ac:dyDescent="0.3">
      <c r="A17" s="14" t="s">
        <v>32</v>
      </c>
      <c r="B17">
        <v>1590</v>
      </c>
      <c r="C17">
        <v>965</v>
      </c>
      <c r="D17">
        <v>-37</v>
      </c>
      <c r="E17">
        <v>1175</v>
      </c>
      <c r="F17">
        <v>3693</v>
      </c>
    </row>
    <row r="18" spans="1:6" x14ac:dyDescent="0.3">
      <c r="A18" s="14" t="s">
        <v>33</v>
      </c>
      <c r="B18">
        <v>1707</v>
      </c>
      <c r="C18">
        <v>1375</v>
      </c>
      <c r="D18">
        <v>708</v>
      </c>
      <c r="E18">
        <v>1016</v>
      </c>
      <c r="F18">
        <v>4806</v>
      </c>
    </row>
    <row r="19" spans="1:6" x14ac:dyDescent="0.3">
      <c r="A19" s="14" t="s">
        <v>34</v>
      </c>
      <c r="B19">
        <v>1116</v>
      </c>
      <c r="C19">
        <v>680</v>
      </c>
      <c r="D19">
        <v>861</v>
      </c>
      <c r="E19">
        <v>1385</v>
      </c>
      <c r="F19">
        <v>4042</v>
      </c>
    </row>
    <row r="20" spans="1:6" x14ac:dyDescent="0.3">
      <c r="A20" s="14" t="s">
        <v>35</v>
      </c>
      <c r="B20">
        <v>474</v>
      </c>
      <c r="C20">
        <v>461</v>
      </c>
      <c r="D20">
        <v>292</v>
      </c>
      <c r="E20">
        <v>389</v>
      </c>
      <c r="F20">
        <v>1616</v>
      </c>
    </row>
    <row r="21" spans="1:6" x14ac:dyDescent="0.3">
      <c r="A21" s="14" t="s">
        <v>36</v>
      </c>
      <c r="B21">
        <v>514</v>
      </c>
      <c r="C21">
        <v>641</v>
      </c>
      <c r="D21">
        <v>1676</v>
      </c>
      <c r="E21">
        <v>1467</v>
      </c>
      <c r="F21">
        <v>4298</v>
      </c>
    </row>
    <row r="22" spans="1:6" x14ac:dyDescent="0.3">
      <c r="A22" s="14" t="s">
        <v>37</v>
      </c>
      <c r="B22">
        <v>-175</v>
      </c>
      <c r="C22">
        <v>-160</v>
      </c>
      <c r="D22">
        <v>53</v>
      </c>
      <c r="E22">
        <v>145</v>
      </c>
      <c r="F22">
        <v>-137</v>
      </c>
    </row>
    <row r="23" spans="1:6" x14ac:dyDescent="0.3">
      <c r="A23" s="14" t="s">
        <v>38</v>
      </c>
      <c r="B23">
        <v>1045</v>
      </c>
      <c r="C23">
        <v>603</v>
      </c>
      <c r="D23">
        <v>759</v>
      </c>
      <c r="E23">
        <v>1633</v>
      </c>
      <c r="F23">
        <v>4040</v>
      </c>
    </row>
    <row r="24" spans="1:6" x14ac:dyDescent="0.3">
      <c r="A24" s="14" t="s">
        <v>39</v>
      </c>
      <c r="B24">
        <v>453</v>
      </c>
      <c r="C24">
        <v>1539</v>
      </c>
      <c r="D24">
        <v>948</v>
      </c>
      <c r="E24">
        <v>637</v>
      </c>
      <c r="F24">
        <v>3577</v>
      </c>
    </row>
    <row r="25" spans="1:6" x14ac:dyDescent="0.3">
      <c r="A25" s="14" t="s">
        <v>11</v>
      </c>
      <c r="B25">
        <v>1382</v>
      </c>
      <c r="C25">
        <v>893</v>
      </c>
      <c r="D25">
        <v>1295</v>
      </c>
      <c r="E25">
        <v>337</v>
      </c>
      <c r="F25">
        <v>3907</v>
      </c>
    </row>
    <row r="26" spans="1:6" x14ac:dyDescent="0.3">
      <c r="A26" s="14" t="s">
        <v>12</v>
      </c>
      <c r="B26">
        <v>1670</v>
      </c>
      <c r="C26">
        <v>629</v>
      </c>
      <c r="D26">
        <v>835</v>
      </c>
      <c r="E26">
        <v>-123</v>
      </c>
      <c r="F26">
        <v>3011</v>
      </c>
    </row>
    <row r="27" spans="1:6" x14ac:dyDescent="0.3">
      <c r="A27" s="14" t="s">
        <v>13</v>
      </c>
      <c r="B27">
        <v>-164</v>
      </c>
      <c r="C27">
        <v>1845</v>
      </c>
      <c r="D27">
        <v>429</v>
      </c>
      <c r="E27">
        <v>160</v>
      </c>
      <c r="F27">
        <v>2270</v>
      </c>
    </row>
    <row r="28" spans="1:6" x14ac:dyDescent="0.3">
      <c r="A28" s="14" t="s">
        <v>14</v>
      </c>
      <c r="B28">
        <v>961</v>
      </c>
      <c r="C28">
        <v>159</v>
      </c>
      <c r="D28">
        <v>1316</v>
      </c>
      <c r="E28">
        <v>317</v>
      </c>
      <c r="F28">
        <v>2753</v>
      </c>
    </row>
    <row r="29" spans="1:6" x14ac:dyDescent="0.3">
      <c r="A29" s="14" t="s">
        <v>15</v>
      </c>
      <c r="B29">
        <v>-318</v>
      </c>
      <c r="C29">
        <v>541</v>
      </c>
      <c r="D29">
        <v>1495</v>
      </c>
      <c r="E29">
        <v>475</v>
      </c>
      <c r="F29">
        <v>2193</v>
      </c>
    </row>
    <row r="30" spans="1:6" x14ac:dyDescent="0.3">
      <c r="A30" s="14" t="s">
        <v>16</v>
      </c>
      <c r="B30">
        <v>1058</v>
      </c>
      <c r="C30">
        <v>76</v>
      </c>
      <c r="D30">
        <v>1665</v>
      </c>
      <c r="E30">
        <v>190</v>
      </c>
      <c r="F30">
        <v>2989</v>
      </c>
    </row>
    <row r="31" spans="1:6" x14ac:dyDescent="0.3">
      <c r="A31" s="14" t="s">
        <v>17</v>
      </c>
      <c r="B31">
        <v>37</v>
      </c>
      <c r="C31">
        <v>1609</v>
      </c>
      <c r="D31">
        <v>1229</v>
      </c>
      <c r="E31">
        <v>28</v>
      </c>
      <c r="F31">
        <v>2903</v>
      </c>
    </row>
    <row r="32" spans="1:6" x14ac:dyDescent="0.3">
      <c r="A32" s="14" t="s">
        <v>18</v>
      </c>
      <c r="B32">
        <v>98</v>
      </c>
      <c r="C32">
        <v>377</v>
      </c>
      <c r="D32">
        <v>1125</v>
      </c>
      <c r="E32">
        <v>-32</v>
      </c>
      <c r="F32">
        <v>1568</v>
      </c>
    </row>
    <row r="33" spans="1:6" x14ac:dyDescent="0.3">
      <c r="A33" s="14" t="s">
        <v>19</v>
      </c>
      <c r="B33">
        <v>-19</v>
      </c>
      <c r="C33">
        <v>666</v>
      </c>
      <c r="D33">
        <v>1680</v>
      </c>
      <c r="E33">
        <v>1006</v>
      </c>
      <c r="F33">
        <v>3333</v>
      </c>
    </row>
    <row r="34" spans="1:6" x14ac:dyDescent="0.3">
      <c r="A34" s="14" t="s">
        <v>20</v>
      </c>
      <c r="B34">
        <v>-179</v>
      </c>
      <c r="C34">
        <v>1025</v>
      </c>
      <c r="D34">
        <v>599</v>
      </c>
      <c r="E34" s="17">
        <v>1706</v>
      </c>
      <c r="F34">
        <v>3151</v>
      </c>
    </row>
    <row r="35" spans="1:6" x14ac:dyDescent="0.3">
      <c r="A35" s="15">
        <v>45298</v>
      </c>
      <c r="B35">
        <v>64</v>
      </c>
      <c r="C35">
        <v>-219</v>
      </c>
      <c r="D35">
        <v>1357</v>
      </c>
      <c r="E35">
        <v>91</v>
      </c>
      <c r="F35">
        <v>1293</v>
      </c>
    </row>
    <row r="36" spans="1:6" x14ac:dyDescent="0.3">
      <c r="A36" s="15">
        <v>45331</v>
      </c>
      <c r="B36">
        <v>1045</v>
      </c>
      <c r="C36">
        <v>1247</v>
      </c>
      <c r="D36">
        <v>197</v>
      </c>
      <c r="E36">
        <v>333</v>
      </c>
      <c r="F36">
        <v>2822</v>
      </c>
    </row>
    <row r="37" spans="1:6" x14ac:dyDescent="0.3">
      <c r="A37" s="15">
        <v>45334</v>
      </c>
      <c r="B37">
        <v>1706</v>
      </c>
      <c r="C37">
        <v>1625</v>
      </c>
      <c r="D37">
        <v>1173</v>
      </c>
      <c r="E37">
        <v>291</v>
      </c>
      <c r="F37">
        <v>4795</v>
      </c>
    </row>
    <row r="38" spans="1:6" x14ac:dyDescent="0.3">
      <c r="A38" s="15">
        <v>45357</v>
      </c>
      <c r="B38">
        <v>1002</v>
      </c>
      <c r="C38">
        <v>1047</v>
      </c>
      <c r="D38">
        <v>415</v>
      </c>
      <c r="E38">
        <v>1090</v>
      </c>
      <c r="F38">
        <v>3554</v>
      </c>
    </row>
    <row r="39" spans="1:6" x14ac:dyDescent="0.3">
      <c r="A39" s="15">
        <v>45393</v>
      </c>
      <c r="B39">
        <v>540</v>
      </c>
      <c r="C39">
        <v>1397</v>
      </c>
      <c r="D39">
        <v>1603</v>
      </c>
      <c r="E39">
        <v>1044</v>
      </c>
      <c r="F39">
        <v>4584</v>
      </c>
    </row>
    <row r="40" spans="1:6" x14ac:dyDescent="0.3">
      <c r="A40" s="15">
        <v>45420</v>
      </c>
      <c r="B40">
        <v>-197</v>
      </c>
      <c r="C40">
        <v>352</v>
      </c>
      <c r="D40">
        <v>328</v>
      </c>
      <c r="E40">
        <v>319</v>
      </c>
      <c r="F40">
        <v>802</v>
      </c>
    </row>
    <row r="41" spans="1:6" x14ac:dyDescent="0.3">
      <c r="A41" s="15">
        <v>45483</v>
      </c>
      <c r="B41">
        <v>1662</v>
      </c>
      <c r="C41">
        <v>1872</v>
      </c>
      <c r="D41">
        <v>107</v>
      </c>
      <c r="E41">
        <v>118</v>
      </c>
      <c r="F41">
        <v>3759</v>
      </c>
    </row>
    <row r="42" spans="1:6" x14ac:dyDescent="0.3">
      <c r="A42" s="15">
        <v>45511</v>
      </c>
      <c r="B42">
        <v>309</v>
      </c>
      <c r="C42">
        <v>1672</v>
      </c>
      <c r="D42">
        <v>547</v>
      </c>
      <c r="E42">
        <v>514</v>
      </c>
      <c r="F42">
        <v>3042</v>
      </c>
    </row>
    <row r="43" spans="1:6" x14ac:dyDescent="0.3">
      <c r="A43" s="15">
        <v>45544</v>
      </c>
      <c r="B43">
        <v>1428</v>
      </c>
      <c r="C43">
        <v>1572</v>
      </c>
      <c r="D43">
        <v>260</v>
      </c>
      <c r="E43">
        <v>1100</v>
      </c>
      <c r="F43">
        <v>4360</v>
      </c>
    </row>
    <row r="44" spans="1:6" x14ac:dyDescent="0.3">
      <c r="A44" s="15">
        <v>45547</v>
      </c>
      <c r="B44">
        <v>1373</v>
      </c>
      <c r="C44">
        <v>1119</v>
      </c>
      <c r="D44" s="17">
        <v>1727</v>
      </c>
      <c r="E44">
        <v>573</v>
      </c>
      <c r="F44">
        <v>4792</v>
      </c>
    </row>
    <row r="45" spans="1:6" x14ac:dyDescent="0.3">
      <c r="A45" s="15">
        <v>45571</v>
      </c>
      <c r="B45">
        <v>1283</v>
      </c>
      <c r="C45">
        <v>517</v>
      </c>
      <c r="D45">
        <v>186</v>
      </c>
      <c r="E45">
        <v>994</v>
      </c>
      <c r="F45">
        <v>2980</v>
      </c>
    </row>
    <row r="46" spans="1:6" x14ac:dyDescent="0.3">
      <c r="A46" s="15">
        <v>45607</v>
      </c>
      <c r="B46">
        <v>-106</v>
      </c>
      <c r="C46">
        <v>902</v>
      </c>
      <c r="D46">
        <v>1150</v>
      </c>
      <c r="E46">
        <v>349</v>
      </c>
      <c r="F46">
        <v>2295</v>
      </c>
    </row>
    <row r="47" spans="1:6" x14ac:dyDescent="0.3">
      <c r="A47" s="15">
        <v>45634</v>
      </c>
      <c r="B47">
        <v>1334</v>
      </c>
      <c r="C47">
        <v>1325</v>
      </c>
      <c r="D47">
        <v>37</v>
      </c>
      <c r="E47">
        <v>1032</v>
      </c>
      <c r="F47">
        <v>3728</v>
      </c>
    </row>
    <row r="48" spans="1:6" x14ac:dyDescent="0.3">
      <c r="A48" s="15">
        <v>45718</v>
      </c>
      <c r="B48">
        <v>748</v>
      </c>
      <c r="C48">
        <v>1080</v>
      </c>
      <c r="D48">
        <v>569</v>
      </c>
      <c r="E48">
        <v>-203</v>
      </c>
      <c r="F48">
        <v>2194</v>
      </c>
    </row>
    <row r="49" spans="1:6" x14ac:dyDescent="0.3">
      <c r="A49" s="15">
        <v>45719</v>
      </c>
      <c r="B49">
        <v>-119</v>
      </c>
      <c r="C49">
        <v>1315</v>
      </c>
      <c r="D49">
        <v>899</v>
      </c>
      <c r="E49">
        <v>315</v>
      </c>
      <c r="F49">
        <v>2410</v>
      </c>
    </row>
    <row r="50" spans="1:6" x14ac:dyDescent="0.3">
      <c r="A50" s="15">
        <v>45782</v>
      </c>
      <c r="B50">
        <v>339</v>
      </c>
      <c r="C50" s="17">
        <v>1881</v>
      </c>
      <c r="D50">
        <v>1510</v>
      </c>
      <c r="E50">
        <v>864</v>
      </c>
      <c r="F50">
        <v>4594</v>
      </c>
    </row>
    <row r="51" spans="1:6" x14ac:dyDescent="0.3">
      <c r="A51" s="15">
        <v>45809</v>
      </c>
      <c r="B51">
        <v>620</v>
      </c>
      <c r="C51">
        <v>903</v>
      </c>
      <c r="D51">
        <v>1188</v>
      </c>
      <c r="E51">
        <v>846</v>
      </c>
      <c r="F51">
        <v>3557</v>
      </c>
    </row>
    <row r="52" spans="1:6" x14ac:dyDescent="0.3">
      <c r="A52" s="15">
        <v>45842</v>
      </c>
      <c r="B52">
        <v>1029</v>
      </c>
      <c r="C52">
        <v>167</v>
      </c>
      <c r="D52">
        <v>1007</v>
      </c>
      <c r="E52">
        <v>209</v>
      </c>
      <c r="F52">
        <v>2412</v>
      </c>
    </row>
    <row r="53" spans="1:6" x14ac:dyDescent="0.3">
      <c r="A53" s="15">
        <v>45932</v>
      </c>
      <c r="B53">
        <v>912</v>
      </c>
      <c r="C53">
        <v>1723</v>
      </c>
      <c r="D53">
        <v>1202</v>
      </c>
      <c r="E53">
        <v>1444</v>
      </c>
      <c r="F53">
        <v>5281</v>
      </c>
    </row>
    <row r="54" spans="1:6" x14ac:dyDescent="0.3">
      <c r="A54" s="15">
        <v>45933</v>
      </c>
      <c r="B54">
        <v>908</v>
      </c>
      <c r="C54">
        <v>212</v>
      </c>
      <c r="D54">
        <v>1350</v>
      </c>
      <c r="E54">
        <v>1242</v>
      </c>
      <c r="F54">
        <v>3712</v>
      </c>
    </row>
    <row r="55" spans="1:6" x14ac:dyDescent="0.3">
      <c r="A55" s="15">
        <v>45996</v>
      </c>
      <c r="B55">
        <v>407</v>
      </c>
      <c r="C55">
        <v>1656</v>
      </c>
      <c r="D55">
        <v>269</v>
      </c>
      <c r="E55">
        <v>-337</v>
      </c>
      <c r="F55">
        <v>1995</v>
      </c>
    </row>
    <row r="56" spans="1:6" x14ac:dyDescent="0.3">
      <c r="A56" s="14" t="s">
        <v>41</v>
      </c>
      <c r="B56">
        <v>35557</v>
      </c>
      <c r="C56">
        <v>48004</v>
      </c>
      <c r="D56">
        <v>41177</v>
      </c>
      <c r="E56">
        <v>35367</v>
      </c>
      <c r="F56">
        <v>160105</v>
      </c>
    </row>
  </sheetData>
  <mergeCells count="1">
    <mergeCell ref="F1:L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CED8-FAAA-493E-9077-989E42993316}">
  <dimension ref="A3:B54"/>
  <sheetViews>
    <sheetView workbookViewId="0">
      <selection activeCell="A8" sqref="A8"/>
    </sheetView>
  </sheetViews>
  <sheetFormatPr defaultRowHeight="14.4" x14ac:dyDescent="0.3"/>
  <cols>
    <col min="1" max="1" width="26.77734375" bestFit="1" customWidth="1"/>
    <col min="2" max="2" width="19.33203125" bestFit="1" customWidth="1"/>
  </cols>
  <sheetData>
    <row r="3" spans="1:2" x14ac:dyDescent="0.3">
      <c r="A3" s="13" t="s">
        <v>52</v>
      </c>
      <c r="B3" t="s">
        <v>43</v>
      </c>
    </row>
    <row r="4" spans="1:2" x14ac:dyDescent="0.3">
      <c r="A4" s="14" t="s">
        <v>29</v>
      </c>
      <c r="B4">
        <v>1722</v>
      </c>
    </row>
    <row r="5" spans="1:2" x14ac:dyDescent="0.3">
      <c r="A5" s="14" t="s">
        <v>30</v>
      </c>
      <c r="B5">
        <v>1572</v>
      </c>
    </row>
    <row r="6" spans="1:2" x14ac:dyDescent="0.3">
      <c r="A6" s="14" t="s">
        <v>31</v>
      </c>
      <c r="B6">
        <v>-166</v>
      </c>
    </row>
    <row r="7" spans="1:2" x14ac:dyDescent="0.3">
      <c r="A7" s="14" t="s">
        <v>21</v>
      </c>
      <c r="B7">
        <v>1224</v>
      </c>
    </row>
    <row r="8" spans="1:2" x14ac:dyDescent="0.3">
      <c r="A8" s="14" t="s">
        <v>22</v>
      </c>
      <c r="B8">
        <v>262</v>
      </c>
    </row>
    <row r="9" spans="1:2" x14ac:dyDescent="0.3">
      <c r="A9" s="14" t="s">
        <v>23</v>
      </c>
      <c r="B9">
        <v>576</v>
      </c>
    </row>
    <row r="10" spans="1:2" x14ac:dyDescent="0.3">
      <c r="A10" s="14" t="s">
        <v>24</v>
      </c>
      <c r="B10">
        <v>-49</v>
      </c>
    </row>
    <row r="11" spans="1:2" x14ac:dyDescent="0.3">
      <c r="A11" s="14" t="s">
        <v>25</v>
      </c>
      <c r="B11">
        <v>1693</v>
      </c>
    </row>
    <row r="12" spans="1:2" x14ac:dyDescent="0.3">
      <c r="A12" s="14" t="s">
        <v>26</v>
      </c>
      <c r="B12">
        <v>1432</v>
      </c>
    </row>
    <row r="13" spans="1:2" x14ac:dyDescent="0.3">
      <c r="A13" s="14" t="s">
        <v>27</v>
      </c>
      <c r="B13">
        <v>684</v>
      </c>
    </row>
    <row r="14" spans="1:2" x14ac:dyDescent="0.3">
      <c r="A14" s="14" t="s">
        <v>28</v>
      </c>
      <c r="B14">
        <v>1765</v>
      </c>
    </row>
    <row r="15" spans="1:2" x14ac:dyDescent="0.3">
      <c r="A15" s="14" t="s">
        <v>32</v>
      </c>
      <c r="B15">
        <v>965</v>
      </c>
    </row>
    <row r="16" spans="1:2" x14ac:dyDescent="0.3">
      <c r="A16" s="14" t="s">
        <v>33</v>
      </c>
      <c r="B16">
        <v>1375</v>
      </c>
    </row>
    <row r="17" spans="1:2" x14ac:dyDescent="0.3">
      <c r="A17" s="14" t="s">
        <v>34</v>
      </c>
      <c r="B17">
        <v>680</v>
      </c>
    </row>
    <row r="18" spans="1:2" x14ac:dyDescent="0.3">
      <c r="A18" s="14" t="s">
        <v>35</v>
      </c>
      <c r="B18">
        <v>461</v>
      </c>
    </row>
    <row r="19" spans="1:2" x14ac:dyDescent="0.3">
      <c r="A19" s="14" t="s">
        <v>36</v>
      </c>
      <c r="B19">
        <v>641</v>
      </c>
    </row>
    <row r="20" spans="1:2" x14ac:dyDescent="0.3">
      <c r="A20" s="14" t="s">
        <v>37</v>
      </c>
      <c r="B20">
        <v>-160</v>
      </c>
    </row>
    <row r="21" spans="1:2" x14ac:dyDescent="0.3">
      <c r="A21" s="14" t="s">
        <v>38</v>
      </c>
      <c r="B21">
        <v>603</v>
      </c>
    </row>
    <row r="22" spans="1:2" x14ac:dyDescent="0.3">
      <c r="A22" s="14" t="s">
        <v>39</v>
      </c>
      <c r="B22">
        <v>1539</v>
      </c>
    </row>
    <row r="23" spans="1:2" x14ac:dyDescent="0.3">
      <c r="A23" s="14" t="s">
        <v>11</v>
      </c>
      <c r="B23">
        <v>893</v>
      </c>
    </row>
    <row r="24" spans="1:2" x14ac:dyDescent="0.3">
      <c r="A24" s="14" t="s">
        <v>12</v>
      </c>
      <c r="B24">
        <v>629</v>
      </c>
    </row>
    <row r="25" spans="1:2" x14ac:dyDescent="0.3">
      <c r="A25" s="14" t="s">
        <v>13</v>
      </c>
      <c r="B25">
        <v>1845</v>
      </c>
    </row>
    <row r="26" spans="1:2" x14ac:dyDescent="0.3">
      <c r="A26" s="14" t="s">
        <v>14</v>
      </c>
      <c r="B26">
        <v>159</v>
      </c>
    </row>
    <row r="27" spans="1:2" x14ac:dyDescent="0.3">
      <c r="A27" s="14" t="s">
        <v>15</v>
      </c>
      <c r="B27">
        <v>541</v>
      </c>
    </row>
    <row r="28" spans="1:2" x14ac:dyDescent="0.3">
      <c r="A28" s="14" t="s">
        <v>16</v>
      </c>
      <c r="B28">
        <v>76</v>
      </c>
    </row>
    <row r="29" spans="1:2" x14ac:dyDescent="0.3">
      <c r="A29" s="14" t="s">
        <v>17</v>
      </c>
      <c r="B29">
        <v>1609</v>
      </c>
    </row>
    <row r="30" spans="1:2" x14ac:dyDescent="0.3">
      <c r="A30" s="14" t="s">
        <v>18</v>
      </c>
      <c r="B30">
        <v>377</v>
      </c>
    </row>
    <row r="31" spans="1:2" x14ac:dyDescent="0.3">
      <c r="A31" s="14" t="s">
        <v>19</v>
      </c>
      <c r="B31">
        <v>666</v>
      </c>
    </row>
    <row r="32" spans="1:2" x14ac:dyDescent="0.3">
      <c r="A32" s="14" t="s">
        <v>20</v>
      </c>
      <c r="B32">
        <v>1025</v>
      </c>
    </row>
    <row r="33" spans="1:2" x14ac:dyDescent="0.3">
      <c r="A33" s="15">
        <v>45298</v>
      </c>
      <c r="B33">
        <v>-219</v>
      </c>
    </row>
    <row r="34" spans="1:2" x14ac:dyDescent="0.3">
      <c r="A34" s="15">
        <v>45331</v>
      </c>
      <c r="B34">
        <v>1247</v>
      </c>
    </row>
    <row r="35" spans="1:2" x14ac:dyDescent="0.3">
      <c r="A35" s="15">
        <v>45334</v>
      </c>
      <c r="B35">
        <v>1625</v>
      </c>
    </row>
    <row r="36" spans="1:2" x14ac:dyDescent="0.3">
      <c r="A36" s="15">
        <v>45357</v>
      </c>
      <c r="B36">
        <v>1047</v>
      </c>
    </row>
    <row r="37" spans="1:2" x14ac:dyDescent="0.3">
      <c r="A37" s="15">
        <v>45393</v>
      </c>
      <c r="B37">
        <v>1397</v>
      </c>
    </row>
    <row r="38" spans="1:2" x14ac:dyDescent="0.3">
      <c r="A38" s="15">
        <v>45420</v>
      </c>
      <c r="B38">
        <v>352</v>
      </c>
    </row>
    <row r="39" spans="1:2" x14ac:dyDescent="0.3">
      <c r="A39" s="15">
        <v>45483</v>
      </c>
      <c r="B39">
        <v>1872</v>
      </c>
    </row>
    <row r="40" spans="1:2" x14ac:dyDescent="0.3">
      <c r="A40" s="15">
        <v>45511</v>
      </c>
      <c r="B40">
        <v>1672</v>
      </c>
    </row>
    <row r="41" spans="1:2" x14ac:dyDescent="0.3">
      <c r="A41" s="15">
        <v>45544</v>
      </c>
      <c r="B41">
        <v>1572</v>
      </c>
    </row>
    <row r="42" spans="1:2" x14ac:dyDescent="0.3">
      <c r="A42" s="15">
        <v>45547</v>
      </c>
      <c r="B42">
        <v>1119</v>
      </c>
    </row>
    <row r="43" spans="1:2" x14ac:dyDescent="0.3">
      <c r="A43" s="15">
        <v>45571</v>
      </c>
      <c r="B43">
        <v>517</v>
      </c>
    </row>
    <row r="44" spans="1:2" x14ac:dyDescent="0.3">
      <c r="A44" s="15">
        <v>45607</v>
      </c>
      <c r="B44">
        <v>902</v>
      </c>
    </row>
    <row r="45" spans="1:2" x14ac:dyDescent="0.3">
      <c r="A45" s="15">
        <v>45634</v>
      </c>
      <c r="B45">
        <v>1325</v>
      </c>
    </row>
    <row r="46" spans="1:2" x14ac:dyDescent="0.3">
      <c r="A46" s="15">
        <v>45718</v>
      </c>
      <c r="B46">
        <v>1080</v>
      </c>
    </row>
    <row r="47" spans="1:2" x14ac:dyDescent="0.3">
      <c r="A47" s="15">
        <v>45719</v>
      </c>
      <c r="B47">
        <v>1315</v>
      </c>
    </row>
    <row r="48" spans="1:2" x14ac:dyDescent="0.3">
      <c r="A48" s="15">
        <v>45782</v>
      </c>
      <c r="B48">
        <v>1881</v>
      </c>
    </row>
    <row r="49" spans="1:2" x14ac:dyDescent="0.3">
      <c r="A49" s="15">
        <v>45809</v>
      </c>
      <c r="B49">
        <v>903</v>
      </c>
    </row>
    <row r="50" spans="1:2" x14ac:dyDescent="0.3">
      <c r="A50" s="15">
        <v>45842</v>
      </c>
      <c r="B50">
        <v>167</v>
      </c>
    </row>
    <row r="51" spans="1:2" x14ac:dyDescent="0.3">
      <c r="A51" s="15">
        <v>45932</v>
      </c>
      <c r="B51">
        <v>1723</v>
      </c>
    </row>
    <row r="52" spans="1:2" x14ac:dyDescent="0.3">
      <c r="A52" s="15">
        <v>45933</v>
      </c>
      <c r="B52">
        <v>212</v>
      </c>
    </row>
    <row r="53" spans="1:2" x14ac:dyDescent="0.3">
      <c r="A53" s="15">
        <v>45996</v>
      </c>
      <c r="B53">
        <v>1656</v>
      </c>
    </row>
    <row r="54" spans="1:2" x14ac:dyDescent="0.3">
      <c r="A54" s="14" t="s">
        <v>41</v>
      </c>
      <c r="B54">
        <v>48004</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displayEmptyCellsAs="gap" xr2:uid="{95CC1B25-F5C4-40E3-A0A5-A28A8231C0A9}">
          <x14:colorSeries rgb="FF376092"/>
          <x14:colorNegative rgb="FFD00000"/>
          <x14:colorAxis rgb="FF000000"/>
          <x14:colorMarkers rgb="FFD00000"/>
          <x14:colorFirst rgb="FFD00000"/>
          <x14:colorLast rgb="FFD00000"/>
          <x14:colorHigh rgb="FFD00000"/>
          <x14:colorLow rgb="FFD00000"/>
          <x14:sparklines>
            <x14:sparkline>
              <xm:f>'moving average'!A3:A54</xm:f>
              <xm:sqref>A3</xm:sqref>
            </x14:sparkline>
            <x14:sparkline>
              <xm:f>'moving average'!B3:B54</xm:f>
              <xm:sqref>B3</xm:sqref>
            </x14:sparkline>
          </x14:sparklines>
        </x14:sparklineGroup>
        <x14:sparklineGroup manualMax="0" manualMin="0" displayEmptyCellsAs="gap" xr2:uid="{612A66F9-4B07-4BE8-9A23-53B26349849A}">
          <x14:colorSeries rgb="FF376092"/>
          <x14:colorNegative rgb="FFD00000"/>
          <x14:colorAxis rgb="FF000000"/>
          <x14:colorMarkers rgb="FFD00000"/>
          <x14:colorFirst rgb="FFD00000"/>
          <x14:colorLast rgb="FFD00000"/>
          <x14:colorHigh rgb="FFD00000"/>
          <x14:colorLow rgb="FFD00000"/>
          <x14:sparklines>
            <x14:sparkline>
              <xm:f>'moving average'!A3</xm:f>
              <xm:sqref>E4</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951D-12CA-49BD-9225-01C272BE83C7}">
  <dimension ref="A4:C9"/>
  <sheetViews>
    <sheetView tabSelected="1" workbookViewId="0">
      <selection activeCell="C6" sqref="C6"/>
    </sheetView>
  </sheetViews>
  <sheetFormatPr defaultRowHeight="14.4" x14ac:dyDescent="0.3"/>
  <cols>
    <col min="1" max="1" width="12.5546875" bestFit="1" customWidth="1"/>
    <col min="2" max="2" width="16.21875" bestFit="1" customWidth="1"/>
    <col min="3" max="3" width="19.33203125" bestFit="1" customWidth="1"/>
  </cols>
  <sheetData>
    <row r="4" spans="1:3" x14ac:dyDescent="0.3">
      <c r="A4" s="13" t="s">
        <v>40</v>
      </c>
      <c r="B4" s="13" t="s">
        <v>53</v>
      </c>
      <c r="C4" t="s">
        <v>43</v>
      </c>
    </row>
    <row r="5" spans="1:3" x14ac:dyDescent="0.3">
      <c r="A5" s="14" t="s">
        <v>8</v>
      </c>
      <c r="B5">
        <v>1379539</v>
      </c>
      <c r="C5">
        <v>35557</v>
      </c>
    </row>
    <row r="6" spans="1:3" x14ac:dyDescent="0.3">
      <c r="A6" s="14" t="s">
        <v>7</v>
      </c>
      <c r="B6">
        <v>1164373</v>
      </c>
      <c r="C6">
        <v>48004</v>
      </c>
    </row>
    <row r="7" spans="1:3" x14ac:dyDescent="0.3">
      <c r="A7" s="14" t="s">
        <v>9</v>
      </c>
      <c r="B7">
        <v>1060357</v>
      </c>
      <c r="C7">
        <v>41177</v>
      </c>
    </row>
    <row r="8" spans="1:3" x14ac:dyDescent="0.3">
      <c r="A8" s="14" t="s">
        <v>10</v>
      </c>
      <c r="B8">
        <v>1228647</v>
      </c>
      <c r="C8">
        <v>35367</v>
      </c>
    </row>
    <row r="9" spans="1:3" x14ac:dyDescent="0.3">
      <c r="A9" s="14" t="s">
        <v>41</v>
      </c>
      <c r="B9">
        <v>4832916</v>
      </c>
      <c r="C9">
        <v>160105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weekly follower </vt:lpstr>
      <vt:lpstr>Peak week</vt:lpstr>
      <vt:lpstr>moving average</vt:lpstr>
      <vt:lpstr> ad spend vs. follower growth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Sajal Gupta</dc:creator>
  <cp:lastModifiedBy>Sajal Gupta</cp:lastModifiedBy>
  <dcterms:created xsi:type="dcterms:W3CDTF">2025-12-21T11:30:00Z</dcterms:created>
  <dcterms:modified xsi:type="dcterms:W3CDTF">2025-12-22T09:52:00Z</dcterms:modified>
</cp:coreProperties>
</file>